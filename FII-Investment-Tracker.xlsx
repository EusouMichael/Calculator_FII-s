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IMULADOR" sheetId="3" state="visible" r:id="rId3"/>
    <sheet xmlns:r="http://schemas.openxmlformats.org/officeDocument/2006/relationships" name="LANÇAMENTOS" sheetId="4" state="visible" r:id="rId4"/>
    <sheet xmlns:r="http://schemas.openxmlformats.org/officeDocument/2006/relationships" name="CARTEIRA" sheetId="5" state="visible" r:id="rId5"/>
    <sheet xmlns:r="http://schemas.openxmlformats.org/officeDocument/2006/relationships" name="METAS" sheetId="6" state="visible" r:id="rId6"/>
    <sheet xmlns:r="http://schemas.openxmlformats.org/officeDocument/2006/relationships" name="ATIVOS" sheetId="7" state="visible" r:id="rId7"/>
    <sheet xmlns:r="http://schemas.openxmlformats.org/officeDocument/2006/relationships" name="INDICADORES" sheetId="8" state="visible" r:id="rId8"/>
    <sheet xmlns:r="http://schemas.openxmlformats.org/officeDocument/2006/relationships" name="FONTES" sheetId="9" state="visible" r:id="rId9"/>
    <sheet xmlns:r="http://schemas.openxmlformats.org/officeDocument/2006/relationships" name="AUXILIAR" sheetId="10" state="hidden" r:id="rId10"/>
  </sheets>
  <definedNames>
    <definedName name="_xlnm._FilterDatabase" localSheetId="3" hidden="1">'LANÇAMENTOS'!$A$4:$I$304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B2D"/>
      <sz val="12"/>
    </font>
    <font>
      <b val="1"/>
      <color rgb="00FFFFFF"/>
      <sz val="12"/>
    </font>
    <font>
      <b val="1"/>
      <color rgb="00C9A227"/>
    </font>
    <font>
      <b val="1"/>
    </font>
    <font>
      <b val="1"/>
      <color rgb="00FFFFFF"/>
    </font>
    <font>
      <i val="1"/>
      <color rgb="00B42318"/>
    </font>
    <font>
      <b val="1"/>
      <color rgb="00173B2D"/>
      <sz val="14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73B2D"/>
      </patternFill>
    </fill>
    <fill>
      <patternFill patternType="solid">
        <fgColor rgb="002F6B4F"/>
      </patternFill>
    </fill>
    <fill>
      <patternFill patternType="solid">
        <fgColor rgb="00F4E9C4"/>
      </patternFill>
    </fill>
    <fill>
      <patternFill patternType="solid">
        <fgColor rgb="00EAF2ED"/>
      </patternFill>
    </fill>
  </fills>
  <borders count="5">
    <border>
      <left/>
      <right/>
      <top/>
      <bottom/>
      <diagonal/>
    </border>
    <border>
      <left style="thin">
        <color rgb="00D9DEDB"/>
      </left>
      <right style="thin">
        <color rgb="00D9DEDB"/>
      </right>
      <top style="thin">
        <color rgb="00D9DEDB"/>
      </top>
      <bottom style="thin">
        <color rgb="00D9DEDB"/>
      </bottom>
    </border>
    <border>
      <left/>
      <right/>
      <top style="thin">
        <color rgb="00D9DEDB"/>
      </top>
      <bottom/>
      <diagonal/>
    </border>
    <border>
      <left/>
      <right style="thin">
        <color rgb="00D9DEDB"/>
      </right>
      <top style="thin">
        <color rgb="00D9DEDB"/>
      </top>
      <bottom/>
      <diagonal/>
    </border>
    <border>
      <left/>
      <right style="thin">
        <color rgb="00D9DEDB"/>
      </right>
      <top style="thin">
        <color rgb="00D9DEDB"/>
      </top>
      <bottom style="thin">
        <color rgb="00D9DEDB"/>
      </bottom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164" fontId="8" fillId="5" borderId="1" pivotButton="0" quotePrefix="0" xfId="0"/>
    <xf numFmtId="0" fontId="0" fillId="0" borderId="4" pivotButton="0" quotePrefix="0" xfId="0"/>
    <xf numFmtId="10" fontId="8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164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0" fillId="4" borderId="1" pivotButton="0" quotePrefix="0" xfId="0"/>
    <xf numFmtId="0" fontId="0" fillId="0" borderId="1" pivotButton="0" quotePrefix="0" xfId="0"/>
    <xf numFmtId="10" fontId="0" fillId="4" borderId="1" pivotButton="0" quotePrefix="0" xfId="0"/>
    <xf numFmtId="164" fontId="0" fillId="0" borderId="1" pivotButton="0" quotePrefix="0" xfId="0"/>
    <xf numFmtId="1" fontId="0" fillId="4" borderId="1" pivotButton="0" quotePrefix="0" xfId="0"/>
    <xf numFmtId="0" fontId="0" fillId="4" borderId="1" pivotButton="0" quotePrefix="0" xfId="0"/>
    <xf numFmtId="10" fontId="0" fillId="0" borderId="1" pivotButton="0" quotePrefix="0" xfId="0"/>
    <xf numFmtId="10" fontId="5" fillId="0" borderId="0" pivotButton="0" quotePrefix="0" xfId="0"/>
    <xf numFmtId="164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9" fillId="0" borderId="0" pivotButton="0" quotePrefix="0" xfId="1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AF2ED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Composição da carteira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'DASHBOARD'!$A$12:$A$25</f>
            </numRef>
          </cat>
          <val>
            <numRef>
              <f>'DASHBOARD'!$B$12:$B$25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Aportes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'DASHBOARD'!$A$30:$A$41</f>
            </numRef>
          </cat>
          <val>
            <numRef>
              <f>'DASHBOARD'!$B$30:$B$41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ncamentos" displayName="tbLancamentos" ref="A4:I304" headerRowCount="1">
  <autoFilter ref="A4:I304"/>
  <tableColumns count="9">
    <tableColumn id="1" name="Data"/>
    <tableColumn id="2" name="Tipo"/>
    <tableColumn id="3" name="Ativo/Ticker"/>
    <tableColumn id="4" name="Quantidade"/>
    <tableColumn id="5" name="Preço"/>
    <tableColumn id="6" name="Valor"/>
    <tableColumn id="7" name="Observação"/>
    <tableColumn id="8" name="Ano"/>
    <tableColumn id="9" name="Mês"/>
  </tableColumns>
  <tableStyleInfo name="TableStyleMedium4" showRowStripes="1"/>
</table>
</file>

<file path=xl/tables/table2.xml><?xml version="1.0" encoding="utf-8"?>
<table xmlns="http://schemas.openxmlformats.org/spreadsheetml/2006/main" id="2" name="tbCarteira" displayName="tbCarteira" ref="A4:L54" headerRowCount="1">
  <autoFilter ref="A4:L54"/>
  <tableColumns count="12">
    <tableColumn id="1" name="Ticker"/>
    <tableColumn id="2" name="Nome"/>
    <tableColumn id="3" name="Tipo"/>
    <tableColumn id="4" name="Segmento"/>
    <tableColumn id="5" name="Quantidade"/>
    <tableColumn id="6" name="Preço Médio Compra"/>
    <tableColumn id="7" name="Preço Atual"/>
    <tableColumn id="8" name="Valor Investido"/>
    <tableColumn id="9" name="Valor Atual"/>
    <tableColumn id="10" name="Resultado"/>
    <tableColumn id="11" name="Rentabilidade"/>
    <tableColumn id="12" name="Dividendos"/>
  </tableColumns>
  <tableStyleInfo name="TableStyleMedium4" showRowStripes="1"/>
</table>
</file>

<file path=xl/tables/table3.xml><?xml version="1.0" encoding="utf-8"?>
<table xmlns="http://schemas.openxmlformats.org/spreadsheetml/2006/main" id="3" name="tbAtivos" displayName="tbAtivos" ref="A4:H54" headerRowCount="1">
  <autoFilter ref="A4:H54"/>
  <tableColumns count="8">
    <tableColumn id="1" name="Ticker"/>
    <tableColumn id="2" name="Nome"/>
    <tableColumn id="3" name="Tipo"/>
    <tableColumn id="4" name="Segmento"/>
    <tableColumn id="5" name="Subsegmento"/>
    <tableColumn id="6" name="Política/Estratégia"/>
    <tableColumn id="7" name="Preço Atual"/>
    <tableColumn id="8" name="Observação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b3.com.br/pt_br/produtos-e-servicos/negociacao/renda-variavel/fundos-de-investimento-imobiliario-fii.htm" TargetMode="External" Id="rId1"/><Relationship Type="http://schemas.openxmlformats.org/officeDocument/2006/relationships/hyperlink" Target="https://www.b3.com.br/pt_br/produtos-e-servicos/negociacao/renda-variavel/fundos-de-investimentos/fii/fiis-listados/" TargetMode="External" Id="rId2"/><Relationship Type="http://schemas.openxmlformats.org/officeDocument/2006/relationships/hyperlink" Target="https://www.gov.br/cvm/pt-br/assuntos/regulados/consultas-por-participante/fundos-de-investimento" TargetMode="External" Id="rId3"/><Relationship Type="http://schemas.openxmlformats.org/officeDocument/2006/relationships/hyperlink" Target="https://www.gov.br/cvm/pt-br/assuntos/regulados/envio-de-informacoes-a-cvm-calendario/sse/fundos-de-investimento-imobiliarios-fiis" TargetMode="External" Id="rId4"/><Relationship Type="http://schemas.openxmlformats.org/officeDocument/2006/relationships/hyperlink" Target="https://www.gov.br/investidor/pt-br/investir/tipos-de-investimentos/fundos-de-investimentos-imobiliarios-fii/politica-de-investimentos-ativos-em-que-os-fii-investem" TargetMode="External" Id="rId5"/><Relationship Type="http://schemas.openxmlformats.org/officeDocument/2006/relationships/hyperlink" Target="https://www.gov.br/investidor/pt-br/investir/tipos-de-investimentos/fundos-de-investimentos-imobiliarios-fii/principais-riscos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FII Investment Tracker — Excel</t>
        </is>
      </c>
    </row>
    <row r="2"/>
    <row r="3">
      <c r="A3" s="2" t="inlineStr">
        <is>
          <t>Ferramenta pessoal de acompanhamento e simulação educacional</t>
        </is>
      </c>
    </row>
    <row r="4"/>
    <row r="5">
      <c r="A5" s="3" t="inlineStr">
        <is>
          <t>COMO USAR</t>
        </is>
      </c>
    </row>
    <row r="6">
      <c r="A6" s="4" t="inlineStr">
        <is>
          <t>1</t>
        </is>
      </c>
      <c r="B6" s="5" t="inlineStr">
        <is>
          <t>Cadastre seus FIIs na aba ATIVOS. O preço atual é informado manualmente.</t>
        </is>
      </c>
    </row>
    <row r="7">
      <c r="A7" s="4" t="inlineStr">
        <is>
          <t>2</t>
        </is>
      </c>
      <c r="B7" s="5" t="inlineStr">
        <is>
          <t>Registre aportes, compras, vendas, dividendos, taxas e demais movimentações em LANÇAMENTOS.</t>
        </is>
      </c>
    </row>
    <row r="8">
      <c r="A8" s="4" t="inlineStr">
        <is>
          <t>3</t>
        </is>
      </c>
      <c r="B8" s="5" t="inlineStr">
        <is>
          <t>A aba CARTEIRA consolida as posições a partir dos lançamentos.</t>
        </is>
      </c>
    </row>
    <row r="9">
      <c r="A9" s="4" t="inlineStr">
        <is>
          <t>4</t>
        </is>
      </c>
      <c r="B9" s="5" t="inlineStr">
        <is>
          <t>Use o SIMULADOR para testar cenários matemáticos com premissas definidas por você.</t>
        </is>
      </c>
    </row>
    <row r="10">
      <c r="A10" s="4" t="inlineStr">
        <is>
          <t>5</t>
        </is>
      </c>
      <c r="B10" s="5" t="inlineStr">
        <is>
          <t>Use METAS para acompanhar patrimônio e renda passiva.</t>
        </is>
      </c>
    </row>
    <row r="11">
      <c r="A11" s="4" t="inlineStr">
        <is>
          <t>6</t>
        </is>
      </c>
      <c r="B11" s="5" t="inlineStr">
        <is>
          <t>Consulte INDICADORES e FONTES para conteúdo educativo e referências oficiais.</t>
        </is>
      </c>
    </row>
    <row r="12"/>
    <row r="13"/>
    <row r="14">
      <c r="A14" s="3" t="inlineStr">
        <is>
          <t>AVISO IMPORTANTE</t>
        </is>
      </c>
    </row>
    <row r="15">
      <c r="A15" s="6" t="inlineStr">
        <is>
          <t>Esta planilha possui finalidade exclusivamente educacional e de acompanhamento pessoal. Cálculos, indicadores e simulações não constituem recomendação, indicação, consultoria ou aconselhamento financeiro. As projeções são cenários matemáticos e não representam garantia de rentabilidade. Os dados de mercado devem ser conferidos em fontes oficiais.</t>
        </is>
      </c>
    </row>
    <row r="16"/>
    <row r="17"/>
    <row r="18"/>
    <row r="19"/>
    <row r="20">
      <c r="A20" s="3" t="inlineStr">
        <is>
          <t>LEGENDA DE DADOS</t>
        </is>
      </c>
    </row>
    <row r="21">
      <c r="A21" s="7" t="inlineStr">
        <is>
          <t>Dado informado pelo usuário</t>
        </is>
      </c>
      <c r="B21" t="inlineStr">
        <is>
          <t>Preenchido manualmente.</t>
        </is>
      </c>
    </row>
    <row r="22">
      <c r="A22" s="7" t="inlineStr">
        <is>
          <t>Dado calculado</t>
        </is>
      </c>
      <c r="B22" t="inlineStr">
        <is>
          <t>Gerado pelas fórmulas da planilha.</t>
        </is>
      </c>
    </row>
    <row r="23">
      <c r="A23" s="7" t="inlineStr">
        <is>
          <t>Projeção</t>
        </is>
      </c>
      <c r="B23" t="inlineStr">
        <is>
          <t>Cenário matemático baseado nas premissas informadas.</t>
        </is>
      </c>
    </row>
    <row r="24">
      <c r="A24" s="7" t="inlineStr">
        <is>
          <t>Dado de mercado</t>
        </is>
      </c>
      <c r="B24" t="inlineStr">
        <is>
          <t>Deve ser conferido em fonte oficial antes de utilização.</t>
        </is>
      </c>
    </row>
  </sheetData>
  <mergeCells count="16">
    <mergeCell ref="A1:H1"/>
    <mergeCell ref="B22:H22"/>
    <mergeCell ref="B8:H8"/>
    <mergeCell ref="A3:H3"/>
    <mergeCell ref="B9:H9"/>
    <mergeCell ref="A20:H20"/>
    <mergeCell ref="B21:H21"/>
    <mergeCell ref="A15:H18"/>
    <mergeCell ref="B6:H6"/>
    <mergeCell ref="B24:H24"/>
    <mergeCell ref="A14:H14"/>
    <mergeCell ref="B7:H7"/>
    <mergeCell ref="A5:H5"/>
    <mergeCell ref="B10:H10"/>
    <mergeCell ref="B11:H11"/>
    <mergeCell ref="B23:H2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Dashboard</t>
        </is>
      </c>
    </row>
    <row r="2"/>
    <row r="3">
      <c r="A3" s="8" t="inlineStr">
        <is>
          <t>Patrimônio atual</t>
        </is>
      </c>
      <c r="C3" s="8" t="inlineStr">
        <is>
          <t>Total investido</t>
        </is>
      </c>
      <c r="E3" s="8" t="inlineStr">
        <is>
          <t>Resultado</t>
        </is>
      </c>
      <c r="G3" s="8" t="inlineStr">
        <is>
          <t>Rentabilidade</t>
        </is>
      </c>
    </row>
    <row r="4">
      <c r="A4" s="9">
        <f>SUM(CARTEIRA!I5:I54)</f>
        <v/>
      </c>
      <c r="B4" s="10" t="n"/>
      <c r="C4" s="9">
        <f>SUM(CARTEIRA!H5:H54)</f>
        <v/>
      </c>
      <c r="D4" s="10" t="n"/>
      <c r="E4" s="9">
        <f>SUM(CARTEIRA!J5:J54)</f>
        <v/>
      </c>
      <c r="F4" s="10" t="n"/>
      <c r="G4" s="11">
        <f>IFERROR(C3/C4,0)</f>
        <v/>
      </c>
      <c r="H4" s="10" t="n"/>
    </row>
    <row r="5"/>
    <row r="6">
      <c r="A6" s="8" t="inlineStr">
        <is>
          <t>Dividendos recebidos</t>
        </is>
      </c>
      <c r="C6" s="8" t="inlineStr">
        <is>
          <t>Aporte mensal planejado</t>
        </is>
      </c>
      <c r="E6" s="8" t="inlineStr">
        <is>
          <t>Meta patrimônio</t>
        </is>
      </c>
      <c r="G6" s="8" t="inlineStr">
        <is>
          <t>Progresso da meta</t>
        </is>
      </c>
    </row>
    <row r="7">
      <c r="A7" s="9">
        <f>SUM(CARTEIRA!L5:L54)</f>
        <v/>
      </c>
      <c r="B7" s="10" t="n"/>
      <c r="C7" s="9">
        <f>METAS!B7</f>
        <v/>
      </c>
      <c r="D7" s="10" t="n"/>
      <c r="E7" s="9">
        <f>METAS!B5</f>
        <v/>
      </c>
      <c r="F7" s="10" t="n"/>
      <c r="G7" s="11">
        <f>METAS!B12</f>
        <v/>
      </c>
      <c r="H7" s="10" t="n"/>
    </row>
    <row r="8"/>
    <row r="9"/>
    <row r="10">
      <c r="A10" s="3" t="inlineStr">
        <is>
          <t>DISTRIBUIÇÃO DA CARTEIRA</t>
        </is>
      </c>
    </row>
    <row r="11">
      <c r="A11" s="12" t="inlineStr">
        <is>
          <t>Ticker</t>
        </is>
      </c>
      <c r="B11" s="12" t="inlineStr">
        <is>
          <t>Valor atual</t>
        </is>
      </c>
      <c r="C11" s="12" t="inlineStr">
        <is>
          <t>Participação</t>
        </is>
      </c>
    </row>
    <row r="12">
      <c r="A12">
        <f>IF(CARTEIRA!A5="","",CARTEIRA!A5)</f>
        <v/>
      </c>
      <c r="B12" s="13">
        <f>IF(A12="","",CARTEIRA!I5)</f>
        <v/>
      </c>
      <c r="C12" s="14">
        <f>IFERROR(B12/$B$3,0)</f>
        <v/>
      </c>
    </row>
    <row r="13">
      <c r="A13">
        <f>IF(CARTEIRA!A6="","",CARTEIRA!A6)</f>
        <v/>
      </c>
      <c r="B13" s="13">
        <f>IF(A13="","",CARTEIRA!I6)</f>
        <v/>
      </c>
      <c r="C13" s="14">
        <f>IFERROR(B13/$B$3,0)</f>
        <v/>
      </c>
    </row>
    <row r="14">
      <c r="A14">
        <f>IF(CARTEIRA!A7="","",CARTEIRA!A7)</f>
        <v/>
      </c>
      <c r="B14" s="13">
        <f>IF(A14="","",CARTEIRA!I7)</f>
        <v/>
      </c>
      <c r="C14" s="14">
        <f>IFERROR(B14/$B$3,0)</f>
        <v/>
      </c>
    </row>
    <row r="15">
      <c r="A15">
        <f>IF(CARTEIRA!A8="","",CARTEIRA!A8)</f>
        <v/>
      </c>
      <c r="B15" s="13">
        <f>IF(A15="","",CARTEIRA!I8)</f>
        <v/>
      </c>
      <c r="C15" s="14">
        <f>IFERROR(B15/$B$3,0)</f>
        <v/>
      </c>
    </row>
    <row r="16">
      <c r="A16">
        <f>IF(CARTEIRA!A9="","",CARTEIRA!A9)</f>
        <v/>
      </c>
      <c r="B16" s="13">
        <f>IF(A16="","",CARTEIRA!I9)</f>
        <v/>
      </c>
      <c r="C16" s="14">
        <f>IFERROR(B16/$B$3,0)</f>
        <v/>
      </c>
    </row>
    <row r="17">
      <c r="A17">
        <f>IF(CARTEIRA!A10="","",CARTEIRA!A10)</f>
        <v/>
      </c>
      <c r="B17" s="13">
        <f>IF(A17="","",CARTEIRA!I10)</f>
        <v/>
      </c>
      <c r="C17" s="14">
        <f>IFERROR(B17/$B$3,0)</f>
        <v/>
      </c>
    </row>
    <row r="18">
      <c r="A18">
        <f>IF(CARTEIRA!A11="","",CARTEIRA!A11)</f>
        <v/>
      </c>
      <c r="B18" s="13">
        <f>IF(A18="","",CARTEIRA!I11)</f>
        <v/>
      </c>
      <c r="C18" s="14">
        <f>IFERROR(B18/$B$3,0)</f>
        <v/>
      </c>
    </row>
    <row r="19">
      <c r="A19">
        <f>IF(CARTEIRA!A12="","",CARTEIRA!A12)</f>
        <v/>
      </c>
      <c r="B19" s="13">
        <f>IF(A19="","",CARTEIRA!I12)</f>
        <v/>
      </c>
      <c r="C19" s="14">
        <f>IFERROR(B19/$B$3,0)</f>
        <v/>
      </c>
    </row>
    <row r="20">
      <c r="A20">
        <f>IF(CARTEIRA!A13="","",CARTEIRA!A13)</f>
        <v/>
      </c>
      <c r="B20" s="13">
        <f>IF(A20="","",CARTEIRA!I13)</f>
        <v/>
      </c>
      <c r="C20" s="14">
        <f>IFERROR(B20/$B$3,0)</f>
        <v/>
      </c>
    </row>
    <row r="21">
      <c r="A21">
        <f>IF(CARTEIRA!A14="","",CARTEIRA!A14)</f>
        <v/>
      </c>
      <c r="B21" s="13">
        <f>IF(A21="","",CARTEIRA!I14)</f>
        <v/>
      </c>
      <c r="C21" s="14">
        <f>IFERROR(B21/$B$3,0)</f>
        <v/>
      </c>
    </row>
    <row r="22">
      <c r="A22">
        <f>IF(CARTEIRA!A15="","",CARTEIRA!A15)</f>
        <v/>
      </c>
      <c r="B22" s="13">
        <f>IF(A22="","",CARTEIRA!I15)</f>
        <v/>
      </c>
      <c r="C22" s="14">
        <f>IFERROR(B22/$B$3,0)</f>
        <v/>
      </c>
    </row>
    <row r="23">
      <c r="A23">
        <f>IF(CARTEIRA!A16="","",CARTEIRA!A16)</f>
        <v/>
      </c>
      <c r="B23" s="13">
        <f>IF(A23="","",CARTEIRA!I16)</f>
        <v/>
      </c>
      <c r="C23" s="14">
        <f>IFERROR(B23/$B$3,0)</f>
        <v/>
      </c>
    </row>
    <row r="24">
      <c r="A24">
        <f>IF(CARTEIRA!A17="","",CARTEIRA!A17)</f>
        <v/>
      </c>
      <c r="B24" s="13">
        <f>IF(A24="","",CARTEIRA!I17)</f>
        <v/>
      </c>
      <c r="C24" s="14">
        <f>IFERROR(B24/$B$3,0)</f>
        <v/>
      </c>
    </row>
    <row r="25">
      <c r="A25">
        <f>IF(CARTEIRA!A18="","",CARTEIRA!A18)</f>
        <v/>
      </c>
      <c r="B25" s="13">
        <f>IF(A25="","",CARTEIRA!I18)</f>
        <v/>
      </c>
      <c r="C25" s="14">
        <f>IFERROR(B25/$B$3,0)</f>
        <v/>
      </c>
    </row>
    <row r="26">
      <c r="A26">
        <f>IF(CARTEIRA!A19="","",CARTEIRA!A19)</f>
        <v/>
      </c>
      <c r="B26" s="13">
        <f>IF(A26="","",CARTEIRA!I19)</f>
        <v/>
      </c>
      <c r="C26" s="14">
        <f>IFERROR(B26/$B$3,0)</f>
        <v/>
      </c>
    </row>
    <row r="27">
      <c r="A27">
        <f>IF(CARTEIRA!A20="","",CARTEIRA!A20)</f>
        <v/>
      </c>
      <c r="B27" s="13">
        <f>IF(A27="","",CARTEIRA!I20)</f>
        <v/>
      </c>
      <c r="C27" s="14">
        <f>IFERROR(B27/$B$3,0)</f>
        <v/>
      </c>
    </row>
    <row r="28">
      <c r="A28" s="3" t="inlineStr">
        <is>
          <t>EVOLUÇÃO DE APORTES</t>
        </is>
      </c>
    </row>
    <row r="29">
      <c r="A29" s="12" t="inlineStr">
        <is>
          <t>Mês</t>
        </is>
      </c>
      <c r="B29" s="15" t="inlineStr">
        <is>
          <t>Aporte</t>
        </is>
      </c>
      <c r="C29" s="14">
        <f>IFERROR(B29/$B$3,0)</f>
        <v/>
      </c>
    </row>
    <row r="30">
      <c r="A30" t="inlineStr">
        <is>
          <t>Jan</t>
        </is>
      </c>
      <c r="B30" s="13">
        <f>METAS!C18</f>
        <v/>
      </c>
      <c r="C30" s="14">
        <f>IFERROR(B30/$B$3,0)</f>
        <v/>
      </c>
    </row>
    <row r="31">
      <c r="A31" t="inlineStr">
        <is>
          <t>Fev</t>
        </is>
      </c>
      <c r="B31" s="13">
        <f>METAS!C19</f>
        <v/>
      </c>
      <c r="C31" s="14">
        <f>IFERROR(B31/$B$3,0)</f>
        <v/>
      </c>
    </row>
    <row r="32">
      <c r="A32" t="inlineStr">
        <is>
          <t>Mar</t>
        </is>
      </c>
      <c r="B32" s="13">
        <f>METAS!C20</f>
        <v/>
      </c>
      <c r="C32" s="14">
        <f>IFERROR(B32/$B$3,0)</f>
        <v/>
      </c>
    </row>
    <row r="33">
      <c r="A33" t="inlineStr">
        <is>
          <t>Abr</t>
        </is>
      </c>
      <c r="B33" s="13">
        <f>METAS!C21</f>
        <v/>
      </c>
      <c r="C33" s="14">
        <f>IFERROR(B33/$B$3,0)</f>
        <v/>
      </c>
    </row>
    <row r="34">
      <c r="A34" t="inlineStr">
        <is>
          <t>Mai</t>
        </is>
      </c>
      <c r="B34" s="13">
        <f>METAS!C22</f>
        <v/>
      </c>
      <c r="C34" s="14">
        <f>IFERROR(B34/$B$3,0)</f>
        <v/>
      </c>
    </row>
    <row r="35">
      <c r="A35" t="inlineStr">
        <is>
          <t>Jun</t>
        </is>
      </c>
      <c r="B35" s="13">
        <f>METAS!C23</f>
        <v/>
      </c>
      <c r="C35" s="14">
        <f>IFERROR(B35/$B$3,0)</f>
        <v/>
      </c>
    </row>
    <row r="36">
      <c r="A36" t="inlineStr">
        <is>
          <t>Jul</t>
        </is>
      </c>
      <c r="B36" s="13">
        <f>METAS!C24</f>
        <v/>
      </c>
      <c r="C36" s="14">
        <f>IFERROR(B36/$B$3,0)</f>
        <v/>
      </c>
    </row>
    <row r="37">
      <c r="A37" t="inlineStr">
        <is>
          <t>Ago</t>
        </is>
      </c>
      <c r="B37" s="13">
        <f>METAS!C25</f>
        <v/>
      </c>
      <c r="C37" s="14">
        <f>IFERROR(B37/$B$3,0)</f>
        <v/>
      </c>
    </row>
    <row r="38">
      <c r="A38" t="inlineStr">
        <is>
          <t>Set</t>
        </is>
      </c>
      <c r="B38" s="13">
        <f>METAS!C26</f>
        <v/>
      </c>
      <c r="C38" s="14">
        <f>IFERROR(B38/$B$3,0)</f>
        <v/>
      </c>
    </row>
    <row r="39">
      <c r="A39" t="inlineStr">
        <is>
          <t>Out</t>
        </is>
      </c>
      <c r="B39" s="13">
        <f>METAS!C27</f>
        <v/>
      </c>
      <c r="C39" s="14">
        <f>IFERROR(B39/$B$3,0)</f>
        <v/>
      </c>
    </row>
    <row r="40">
      <c r="A40" t="inlineStr">
        <is>
          <t>Nov</t>
        </is>
      </c>
      <c r="B40" s="13">
        <f>METAS!C28</f>
        <v/>
      </c>
      <c r="C40" s="14">
        <f>IFERROR(B40/$B$3,0)</f>
        <v/>
      </c>
    </row>
    <row r="41">
      <c r="A41" t="inlineStr">
        <is>
          <t>Dez</t>
        </is>
      </c>
      <c r="B41" s="13">
        <f>METAS!C29</f>
        <v/>
      </c>
      <c r="C41" s="14">
        <f>IFERROR(B41/$B$3,0)</f>
        <v/>
      </c>
    </row>
    <row r="42">
      <c r="A42">
        <f>IF(CARTEIRA!A35="","",CARTEIRA!A35)</f>
        <v/>
      </c>
      <c r="B42" s="13">
        <f>IF(A42="","",CARTEIRA!I35)</f>
        <v/>
      </c>
      <c r="C42" s="14">
        <f>IFERROR(B42/$B$3,0)</f>
        <v/>
      </c>
    </row>
    <row r="43">
      <c r="A43">
        <f>IF(CARTEIRA!A36="","",CARTEIRA!A36)</f>
        <v/>
      </c>
      <c r="B43" s="13">
        <f>IF(A43="","",CARTEIRA!I36)</f>
        <v/>
      </c>
      <c r="C43" s="14">
        <f>IFERROR(B43/$B$3,0)</f>
        <v/>
      </c>
    </row>
    <row r="44">
      <c r="A44">
        <f>IF(CARTEIRA!A37="","",CARTEIRA!A37)</f>
        <v/>
      </c>
      <c r="B44" s="13">
        <f>IF(A44="","",CARTEIRA!I37)</f>
        <v/>
      </c>
      <c r="C44" s="14">
        <f>IFERROR(B44/$B$3,0)</f>
        <v/>
      </c>
    </row>
    <row r="45">
      <c r="A45">
        <f>IF(CARTEIRA!A38="","",CARTEIRA!A38)</f>
        <v/>
      </c>
      <c r="B45" s="13">
        <f>IF(A45="","",CARTEIRA!I38)</f>
        <v/>
      </c>
      <c r="C45" s="14">
        <f>IFERROR(B45/$B$3,0)</f>
        <v/>
      </c>
    </row>
    <row r="46">
      <c r="A46">
        <f>IF(CARTEIRA!A39="","",CARTEIRA!A39)</f>
        <v/>
      </c>
      <c r="B46" s="13">
        <f>IF(A46="","",CARTEIRA!I39)</f>
        <v/>
      </c>
      <c r="C46" s="14">
        <f>IFERROR(B46/$B$3,0)</f>
        <v/>
      </c>
    </row>
    <row r="47">
      <c r="A47">
        <f>IF(CARTEIRA!A40="","",CARTEIRA!A40)</f>
        <v/>
      </c>
      <c r="B47" s="13">
        <f>IF(A47="","",CARTEIRA!I40)</f>
        <v/>
      </c>
      <c r="C47" s="14">
        <f>IFERROR(B47/$B$3,0)</f>
        <v/>
      </c>
    </row>
    <row r="48">
      <c r="A48">
        <f>IF(CARTEIRA!A41="","",CARTEIRA!A41)</f>
        <v/>
      </c>
      <c r="B48" s="13">
        <f>IF(A48="","",CARTEIRA!I41)</f>
        <v/>
      </c>
      <c r="C48" s="14">
        <f>IFERROR(B48/$B$3,0)</f>
        <v/>
      </c>
    </row>
    <row r="49">
      <c r="A49">
        <f>IF(CARTEIRA!A42="","",CARTEIRA!A42)</f>
        <v/>
      </c>
      <c r="B49" s="13">
        <f>IF(A49="","",CARTEIRA!I42)</f>
        <v/>
      </c>
      <c r="C49" s="14">
        <f>IFERROR(B49/$B$3,0)</f>
        <v/>
      </c>
    </row>
    <row r="50">
      <c r="A50">
        <f>IF(CARTEIRA!A43="","",CARTEIRA!A43)</f>
        <v/>
      </c>
      <c r="B50" s="13">
        <f>IF(A50="","",CARTEIRA!I43)</f>
        <v/>
      </c>
      <c r="C50" s="14">
        <f>IFERROR(B50/$B$3,0)</f>
        <v/>
      </c>
    </row>
    <row r="51">
      <c r="A51">
        <f>IF(CARTEIRA!A44="","",CARTEIRA!A44)</f>
        <v/>
      </c>
      <c r="B51" s="13">
        <f>IF(A51="","",CARTEIRA!I44)</f>
        <v/>
      </c>
      <c r="C51" s="14">
        <f>IFERROR(B51/$B$3,0)</f>
        <v/>
      </c>
    </row>
    <row r="52">
      <c r="A52">
        <f>IF(CARTEIRA!A45="","",CARTEIRA!A45)</f>
        <v/>
      </c>
      <c r="B52" s="13">
        <f>IF(A52="","",CARTEIRA!I45)</f>
        <v/>
      </c>
      <c r="C52" s="14">
        <f>IFERROR(B52/$B$3,0)</f>
        <v/>
      </c>
    </row>
    <row r="53">
      <c r="A53">
        <f>IF(CARTEIRA!A46="","",CARTEIRA!A46)</f>
        <v/>
      </c>
      <c r="B53" s="13">
        <f>IF(A53="","",CARTEIRA!I46)</f>
        <v/>
      </c>
      <c r="C53" s="14">
        <f>IFERROR(B53/$B$3,0)</f>
        <v/>
      </c>
    </row>
    <row r="54">
      <c r="A54">
        <f>IF(CARTEIRA!A47="","",CARTEIRA!A47)</f>
        <v/>
      </c>
      <c r="B54" s="13">
        <f>IF(A54="","",CARTEIRA!I47)</f>
        <v/>
      </c>
      <c r="C54" s="14">
        <f>IFERROR(B54/$B$3,0)</f>
        <v/>
      </c>
    </row>
    <row r="55">
      <c r="A55">
        <f>IF(CARTEIRA!A48="","",CARTEIRA!A48)</f>
        <v/>
      </c>
      <c r="B55" s="13">
        <f>IF(A55="","",CARTEIRA!I48)</f>
        <v/>
      </c>
      <c r="C55" s="14">
        <f>IFERROR(B55/$B$3,0)</f>
        <v/>
      </c>
    </row>
    <row r="56">
      <c r="A56">
        <f>IF(CARTEIRA!A49="","",CARTEIRA!A49)</f>
        <v/>
      </c>
      <c r="B56" s="13">
        <f>IF(A56="","",CARTEIRA!I49)</f>
        <v/>
      </c>
      <c r="C56" s="14">
        <f>IFERROR(B56/$B$3,0)</f>
        <v/>
      </c>
    </row>
    <row r="57">
      <c r="A57">
        <f>IF(CARTEIRA!A50="","",CARTEIRA!A50)</f>
        <v/>
      </c>
      <c r="B57" s="13">
        <f>IF(A57="","",CARTEIRA!I50)</f>
        <v/>
      </c>
      <c r="C57" s="14">
        <f>IFERROR(B57/$B$3,0)</f>
        <v/>
      </c>
    </row>
    <row r="58">
      <c r="A58">
        <f>IF(CARTEIRA!A51="","",CARTEIRA!A51)</f>
        <v/>
      </c>
      <c r="B58" s="13">
        <f>IF(A58="","",CARTEIRA!I51)</f>
        <v/>
      </c>
      <c r="C58" s="14">
        <f>IFERROR(B58/$B$3,0)</f>
        <v/>
      </c>
    </row>
    <row r="59">
      <c r="A59">
        <f>IF(CARTEIRA!A52="","",CARTEIRA!A52)</f>
        <v/>
      </c>
      <c r="B59" s="13">
        <f>IF(A59="","",CARTEIRA!I52)</f>
        <v/>
      </c>
      <c r="C59" s="14">
        <f>IFERROR(B59/$B$3,0)</f>
        <v/>
      </c>
    </row>
    <row r="60">
      <c r="A60">
        <f>IF(CARTEIRA!A53="","",CARTEIRA!A53)</f>
        <v/>
      </c>
      <c r="B60" s="13">
        <f>IF(A60="","",CARTEIRA!I53)</f>
        <v/>
      </c>
      <c r="C60" s="14">
        <f>IFERROR(B60/$B$3,0)</f>
        <v/>
      </c>
    </row>
    <row r="61">
      <c r="A61">
        <f>IF(CARTEIRA!A54="","",CARTEIRA!A54)</f>
        <v/>
      </c>
      <c r="B61" s="13">
        <f>IF(A61="","",CARTEIRA!I54)</f>
        <v/>
      </c>
      <c r="C61" s="14">
        <f>IFERROR(B61/$B$3,0)</f>
        <v/>
      </c>
    </row>
  </sheetData>
  <mergeCells count="19">
    <mergeCell ref="C6:D6"/>
    <mergeCell ref="A6:B6"/>
    <mergeCell ref="C4:D4"/>
    <mergeCell ref="E4:F4"/>
    <mergeCell ref="A7:B7"/>
    <mergeCell ref="G7:H7"/>
    <mergeCell ref="G6:H6"/>
    <mergeCell ref="A3:B3"/>
    <mergeCell ref="G3:H3"/>
    <mergeCell ref="A1:J1"/>
    <mergeCell ref="E6:F6"/>
    <mergeCell ref="A28:F28"/>
    <mergeCell ref="A4:B4"/>
    <mergeCell ref="G4:H4"/>
    <mergeCell ref="C7:D7"/>
    <mergeCell ref="E7:F7"/>
    <mergeCell ref="A10:E10"/>
    <mergeCell ref="C3:D3"/>
    <mergeCell ref="E3:F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3" customWidth="1" min="3" max="3"/>
    <col width="45" customWidth="1" min="4" max="4"/>
    <col width="4" customWidth="1" min="5" max="5"/>
    <col width="18" customWidth="1" min="6" max="6"/>
    <col width="15" customWidth="1" min="7" max="7"/>
    <col width="22" customWidth="1" min="8" max="8"/>
    <col width="20" customWidth="1" min="9" max="9"/>
    <col width="20" customWidth="1" min="10" max="10"/>
    <col width="22" customWidth="1" min="11" max="11"/>
  </cols>
  <sheetData>
    <row r="1" ht="30" customHeight="1">
      <c r="A1" s="1" t="inlineStr">
        <is>
          <t>Simulador de Cenários</t>
        </is>
      </c>
    </row>
    <row r="2"/>
    <row r="3">
      <c r="A3" s="16" t="inlineStr">
        <is>
          <t>As taxas abaixo são premissas de simulação definidas pelo usuário.</t>
        </is>
      </c>
    </row>
    <row r="4"/>
    <row r="5">
      <c r="A5" s="3" t="inlineStr">
        <is>
          <t>PREMISSAS</t>
        </is>
      </c>
      <c r="F5" s="3" t="inlineStr">
        <is>
          <t>CENÁRIOS — TAXAS INFORMADAS PELO USUÁRIO</t>
        </is>
      </c>
    </row>
    <row r="6">
      <c r="A6" s="7" t="inlineStr">
        <is>
          <t>Capital inicial</t>
        </is>
      </c>
      <c r="B6" s="17" t="n">
        <v>0</v>
      </c>
      <c r="F6" s="12" t="inlineStr">
        <is>
          <t>Cenário</t>
        </is>
      </c>
      <c r="G6" s="12" t="inlineStr">
        <is>
          <t>Taxa mensal</t>
        </is>
      </c>
      <c r="H6" s="12" t="inlineStr">
        <is>
          <t>Patrimônio projetado</t>
        </is>
      </c>
      <c r="I6" s="12" t="inlineStr">
        <is>
          <t>Total aportado</t>
        </is>
      </c>
      <c r="J6" s="12" t="inlineStr">
        <is>
          <t>Rendimentos</t>
        </is>
      </c>
      <c r="K6" s="12" t="inlineStr">
        <is>
          <t>Valor real (inflação)</t>
        </is>
      </c>
    </row>
    <row r="7">
      <c r="A7" s="7" t="inlineStr">
        <is>
          <t>Aporte mensal</t>
        </is>
      </c>
      <c r="B7" s="17" t="n">
        <v>200</v>
      </c>
      <c r="F7" s="18" t="inlineStr">
        <is>
          <t>Conservador</t>
        </is>
      </c>
      <c r="G7" s="19" t="n">
        <v>0.005</v>
      </c>
      <c r="H7" s="20">
        <f>IF($B$10="Sim",$B$6*(1+G7)^($B$8*12)+$B$7*(((1+G7)^($B$8*12)-1)/G7),$B$6+$B$7*$B$8*12)</f>
        <v/>
      </c>
      <c r="I7" s="20">
        <f>$B$6+$B$7*$B$8*12</f>
        <v/>
      </c>
      <c r="J7" s="20">
        <f>H7-I7</f>
        <v/>
      </c>
      <c r="K7" s="20">
        <f>H7/(1+$B$9)^$B$8</f>
        <v/>
      </c>
    </row>
    <row r="8">
      <c r="A8" s="7" t="inlineStr">
        <is>
          <t>Prazo (anos)</t>
        </is>
      </c>
      <c r="B8" s="21" t="n">
        <v>5</v>
      </c>
      <c r="F8" s="18" t="inlineStr">
        <is>
          <t>Base</t>
        </is>
      </c>
      <c r="G8" s="19" t="n">
        <v>0.0108</v>
      </c>
      <c r="H8" s="20">
        <f>IF($B$10="Sim",$B$6*(1+G8)^($B$8*12)+$B$7*(((1+G8)^($B$8*12)-1)/G8),$B$6+$B$7*$B$8*12)</f>
        <v/>
      </c>
      <c r="I8" s="20">
        <f>$B$6+$B$7*$B$8*12</f>
        <v/>
      </c>
      <c r="J8" s="20">
        <f>H8-I8</f>
        <v/>
      </c>
      <c r="K8" s="20">
        <f>H8/(1+$B$9)^$B$8</f>
        <v/>
      </c>
    </row>
    <row r="9">
      <c r="A9" s="7" t="inlineStr">
        <is>
          <t>Inflação anual</t>
        </is>
      </c>
      <c r="B9" s="19" t="n">
        <v>0.045</v>
      </c>
      <c r="F9" s="18" t="inlineStr">
        <is>
          <t>Otimista</t>
        </is>
      </c>
      <c r="G9" s="19" t="n">
        <v>0.015</v>
      </c>
      <c r="H9" s="20">
        <f>IF($B$10="Sim",$B$6*(1+G9)^($B$8*12)+$B$7*(((1+G9)^($B$8*12)-1)/G9),$B$6+$B$7*$B$8*12)</f>
        <v/>
      </c>
      <c r="I9" s="20">
        <f>$B$6+$B$7*$B$8*12</f>
        <v/>
      </c>
      <c r="J9" s="20">
        <f>H9-I9</f>
        <v/>
      </c>
      <c r="K9" s="20">
        <f>H9/(1+$B$9)^$B$8</f>
        <v/>
      </c>
    </row>
    <row r="10">
      <c r="A10" s="7" t="inlineStr">
        <is>
          <t>Reinvestir rendimentos?</t>
        </is>
      </c>
      <c r="B10" s="22" t="inlineStr">
        <is>
          <t>Sim</t>
        </is>
      </c>
    </row>
    <row r="11"/>
    <row r="12">
      <c r="A12" s="3" t="inlineStr">
        <is>
          <t>CENÁRIOS POR PRAZO — MANTENDO A TAXA BASE</t>
        </is>
      </c>
    </row>
    <row r="13">
      <c r="A13" s="12" t="inlineStr">
        <is>
          <t>Prazo (anos)</t>
        </is>
      </c>
      <c r="B13" s="12" t="inlineStr">
        <is>
          <t>Taxa base</t>
        </is>
      </c>
      <c r="C13" s="12" t="inlineStr">
        <is>
          <t>Patrimônio</t>
        </is>
      </c>
      <c r="D13" s="12" t="inlineStr">
        <is>
          <t>Total aportado</t>
        </is>
      </c>
      <c r="E13" s="12" t="inlineStr">
        <is>
          <t>Rendimentos</t>
        </is>
      </c>
      <c r="F13" s="12" t="inlineStr">
        <is>
          <t>Valor real</t>
        </is>
      </c>
    </row>
    <row r="14">
      <c r="A14" s="18" t="n">
        <v>2</v>
      </c>
      <c r="B14" s="23">
        <f>$G$8</f>
        <v/>
      </c>
      <c r="C14" s="20">
        <f>IF($B$10="Sim",$B$6*(1+$G$8)^(A14*12)+$B$7*(((1+$G$8)^(A14*12)-1)/$G$8),$B$6+$B$7*A14*12)</f>
        <v/>
      </c>
      <c r="D14" s="20">
        <f>$B$6+$B$7*A14*12</f>
        <v/>
      </c>
      <c r="E14" s="20">
        <f>C14-D14</f>
        <v/>
      </c>
      <c r="F14" s="20">
        <f>C14/(1+$B$9)^A14</f>
        <v/>
      </c>
    </row>
    <row r="15">
      <c r="A15" s="18" t="n">
        <v>5</v>
      </c>
      <c r="B15" s="23">
        <f>$G$8</f>
        <v/>
      </c>
      <c r="C15" s="20">
        <f>IF($B$10="Sim",$B$6*(1+$G$8)^(A15*12)+$B$7*(((1+$G$8)^(A15*12)-1)/$G$8),$B$6+$B$7*A15*12)</f>
        <v/>
      </c>
      <c r="D15" s="20">
        <f>$B$6+$B$7*A15*12</f>
        <v/>
      </c>
      <c r="E15" s="20">
        <f>C15-D15</f>
        <v/>
      </c>
      <c r="F15" s="20">
        <f>C15/(1+$B$9)^A15</f>
        <v/>
      </c>
    </row>
    <row r="16">
      <c r="A16" s="18" t="n">
        <v>10</v>
      </c>
      <c r="B16" s="23">
        <f>$G$8</f>
        <v/>
      </c>
      <c r="C16" s="20">
        <f>IF($B$10="Sim",$B$6*(1+$G$8)^(A16*12)+$B$7*(((1+$G$8)^(A16*12)-1)/$G$8),$B$6+$B$7*A16*12)</f>
        <v/>
      </c>
      <c r="D16" s="20">
        <f>$B$6+$B$7*A16*12</f>
        <v/>
      </c>
      <c r="E16" s="20">
        <f>C16-D16</f>
        <v/>
      </c>
      <c r="F16" s="20">
        <f>C16/(1+$B$9)^A16</f>
        <v/>
      </c>
    </row>
    <row r="17">
      <c r="A17" s="18" t="n">
        <v>20</v>
      </c>
      <c r="B17" s="23">
        <f>$G$8</f>
        <v/>
      </c>
      <c r="C17" s="20">
        <f>IF($B$10="Sim",$B$6*(1+$G$8)^(A17*12)+$B$7*(((1+$G$8)^(A17*12)-1)/$G$8),$B$6+$B$7*A17*12)</f>
        <v/>
      </c>
      <c r="D17" s="20">
        <f>$B$6+$B$7*A17*12</f>
        <v/>
      </c>
      <c r="E17" s="20">
        <f>C17-D17</f>
        <v/>
      </c>
      <c r="F17" s="20">
        <f>C17/(1+$B$9)^A17</f>
        <v/>
      </c>
    </row>
    <row r="18">
      <c r="A18" s="18" t="n">
        <v>30</v>
      </c>
      <c r="B18" s="23">
        <f>$G$8</f>
        <v/>
      </c>
      <c r="C18" s="20">
        <f>IF($B$10="Sim",$B$6*(1+$G$8)^(A18*12)+$B$7*(((1+$G$8)^(A18*12)-1)/$G$8),$B$6+$B$7*A18*12)</f>
        <v/>
      </c>
      <c r="D18" s="20">
        <f>$B$6+$B$7*A18*12</f>
        <v/>
      </c>
      <c r="E18" s="20">
        <f>C18-D18</f>
        <v/>
      </c>
      <c r="F18" s="20">
        <f>C18/(1+$B$9)^A18</f>
        <v/>
      </c>
    </row>
    <row r="19"/>
    <row r="20"/>
    <row r="21">
      <c r="A21" s="3" t="inlineStr">
        <is>
          <t>COMPOSIÇÃO HIPOTÉTICA — EDITÁVEL</t>
        </is>
      </c>
    </row>
    <row r="22">
      <c r="A22" s="12" t="inlineStr">
        <is>
          <t>Tipo</t>
        </is>
      </c>
      <c r="B22" s="12" t="inlineStr">
        <is>
          <t>Percentual</t>
        </is>
      </c>
      <c r="C22" s="12" t="inlineStr">
        <is>
          <t>Aporte mensal simulado</t>
        </is>
      </c>
      <c r="D22" s="12" t="inlineStr">
        <is>
          <t>Observação</t>
        </is>
      </c>
    </row>
    <row r="23">
      <c r="A23" s="18" t="inlineStr">
        <is>
          <t>Papel</t>
        </is>
      </c>
      <c r="B23" s="23" t="n">
        <v>0.3</v>
      </c>
      <c r="C23" s="20">
        <f>B23*$B$7</f>
        <v/>
      </c>
      <c r="D23" s="18" t="inlineStr">
        <is>
          <t>Simulação de composição; não constitui recomendação.</t>
        </is>
      </c>
    </row>
    <row r="24">
      <c r="A24" s="18" t="inlineStr">
        <is>
          <t>Tijolo</t>
        </is>
      </c>
      <c r="B24" s="23" t="n">
        <v>0.5</v>
      </c>
      <c r="C24" s="20">
        <f>B24*$B$7</f>
        <v/>
      </c>
      <c r="D24" s="18" t="inlineStr">
        <is>
          <t>Simulação de composição; não constitui recomendação.</t>
        </is>
      </c>
    </row>
    <row r="25">
      <c r="A25" s="18" t="inlineStr">
        <is>
          <t>Híbrido</t>
        </is>
      </c>
      <c r="B25" s="23" t="n">
        <v>0.1</v>
      </c>
      <c r="C25" s="20">
        <f>B25*$B$7</f>
        <v/>
      </c>
      <c r="D25" s="18" t="inlineStr">
        <is>
          <t>Simulação de composição; não constitui recomendação.</t>
        </is>
      </c>
    </row>
    <row r="26">
      <c r="A26" s="18" t="inlineStr">
        <is>
          <t>FOF</t>
        </is>
      </c>
      <c r="B26" s="23" t="n">
        <v>0.1</v>
      </c>
      <c r="C26" s="20">
        <f>B26*$B$7</f>
        <v/>
      </c>
      <c r="D26" s="18" t="inlineStr">
        <is>
          <t>Simulação de composição; não constitui recomendação.</t>
        </is>
      </c>
    </row>
    <row r="27">
      <c r="A27" s="18" t="inlineStr">
        <is>
          <t>Desenvolvimento</t>
        </is>
      </c>
      <c r="B27" s="23" t="n">
        <v>0</v>
      </c>
      <c r="C27" s="20">
        <f>B27*$B$7</f>
        <v/>
      </c>
      <c r="D27" s="18" t="inlineStr">
        <is>
          <t>Simulação de composição; não constitui recomendação.</t>
        </is>
      </c>
    </row>
    <row r="28">
      <c r="A28" s="18" t="inlineStr">
        <is>
          <t>Hotelaria</t>
        </is>
      </c>
      <c r="B28" s="23" t="n">
        <v>0</v>
      </c>
      <c r="C28" s="20">
        <f>B28*$B$7</f>
        <v/>
      </c>
      <c r="D28" s="18" t="inlineStr">
        <is>
          <t>Simulação de composição; não constitui recomendação.</t>
        </is>
      </c>
    </row>
    <row r="29">
      <c r="A29" s="7" t="inlineStr">
        <is>
          <t>TOTAL</t>
        </is>
      </c>
      <c r="B29" s="24">
        <f>SUM(B23:B28)</f>
        <v/>
      </c>
      <c r="C29" s="25">
        <f>SUM(C23:C28)</f>
        <v/>
      </c>
    </row>
  </sheetData>
  <mergeCells count="6">
    <mergeCell ref="A21:E21"/>
    <mergeCell ref="A5:D5"/>
    <mergeCell ref="A1:J1"/>
    <mergeCell ref="A3:J3"/>
    <mergeCell ref="F5:J5"/>
    <mergeCell ref="A12:F12"/>
  </mergeCells>
  <conditionalFormatting sqref="B29">
    <cfRule type="cellIs" priority="1" operator="equal" dxfId="0">
      <formula>1</formula>
    </cfRule>
    <cfRule type="cellIs" priority="2" operator="notEqual" dxfId="1">
      <formula>1</formula>
    </cfRule>
  </conditionalFormatting>
  <dataValidations count="1">
    <dataValidation sqref="B10" showDropDown="0" showInputMessage="0" showErrorMessage="0" allowBlank="0" type="list">
      <formula1>=AUXILIAR!$D$2:$D$3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4" customWidth="1" min="4" max="4"/>
    <col width="14" customWidth="1" min="5" max="5"/>
    <col width="16" customWidth="1" min="6" max="6"/>
    <col width="35" customWidth="1" min="7" max="7"/>
    <col width="10" customWidth="1" min="8" max="8"/>
    <col width="10" customWidth="1" min="9" max="9"/>
  </cols>
  <sheetData>
    <row r="1" ht="30" customHeight="1">
      <c r="A1" s="1" t="inlineStr">
        <is>
          <t>Lançamentos</t>
        </is>
      </c>
    </row>
    <row r="2"/>
    <row r="3"/>
    <row r="4">
      <c r="A4" s="12" t="inlineStr">
        <is>
          <t>Data</t>
        </is>
      </c>
      <c r="B4" s="12" t="inlineStr">
        <is>
          <t>Tipo</t>
        </is>
      </c>
      <c r="C4" s="12" t="inlineStr">
        <is>
          <t>Ativo/Ticker</t>
        </is>
      </c>
      <c r="D4" s="12" t="inlineStr">
        <is>
          <t>Quantidade</t>
        </is>
      </c>
      <c r="E4" s="12" t="inlineStr">
        <is>
          <t>Preço</t>
        </is>
      </c>
      <c r="F4" s="12" t="inlineStr">
        <is>
          <t>Valor</t>
        </is>
      </c>
      <c r="G4" s="12" t="inlineStr">
        <is>
          <t>Observação</t>
        </is>
      </c>
      <c r="H4" s="12" t="inlineStr">
        <is>
          <t>Ano</t>
        </is>
      </c>
      <c r="I4" s="12" t="inlineStr">
        <is>
          <t>Mês</t>
        </is>
      </c>
    </row>
    <row r="5">
      <c r="A5" s="18" t="n"/>
      <c r="B5" s="18" t="n"/>
      <c r="C5" s="18" t="n"/>
      <c r="D5" s="18" t="n"/>
      <c r="E5" s="20" t="n"/>
      <c r="F5" s="20">
        <f>IF(OR(D5="",E5=""),"",D5*E5)</f>
        <v/>
      </c>
      <c r="G5" s="18" t="n"/>
      <c r="H5" s="18">
        <f>IF(A5="","",YEAR(A5))</f>
        <v/>
      </c>
      <c r="I5" s="18">
        <f>IF(A5="","",MONTH(A5))</f>
        <v/>
      </c>
    </row>
    <row r="6">
      <c r="A6" s="18" t="n"/>
      <c r="B6" s="18" t="n"/>
      <c r="C6" s="18" t="n"/>
      <c r="D6" s="18" t="n"/>
      <c r="E6" s="20" t="n"/>
      <c r="F6" s="20">
        <f>IF(OR(D6="",E6=""),"",D6*E6)</f>
        <v/>
      </c>
      <c r="G6" s="18" t="n"/>
      <c r="H6" s="18">
        <f>IF(A6="","",YEAR(A6))</f>
        <v/>
      </c>
      <c r="I6" s="18">
        <f>IF(A6="","",MONTH(A6))</f>
        <v/>
      </c>
    </row>
    <row r="7">
      <c r="A7" s="18" t="n"/>
      <c r="B7" s="18" t="n"/>
      <c r="C7" s="18" t="n"/>
      <c r="D7" s="18" t="n"/>
      <c r="E7" s="20" t="n"/>
      <c r="F7" s="20">
        <f>IF(OR(D7="",E7=""),"",D7*E7)</f>
        <v/>
      </c>
      <c r="G7" s="18" t="n"/>
      <c r="H7" s="18">
        <f>IF(A7="","",YEAR(A7))</f>
        <v/>
      </c>
      <c r="I7" s="18">
        <f>IF(A7="","",MONTH(A7))</f>
        <v/>
      </c>
    </row>
    <row r="8">
      <c r="A8" s="18" t="n"/>
      <c r="B8" s="18" t="n"/>
      <c r="C8" s="18" t="n"/>
      <c r="D8" s="18" t="n"/>
      <c r="E8" s="20" t="n"/>
      <c r="F8" s="20">
        <f>IF(OR(D8="",E8=""),"",D8*E8)</f>
        <v/>
      </c>
      <c r="G8" s="18" t="n"/>
      <c r="H8" s="18">
        <f>IF(A8="","",YEAR(A8))</f>
        <v/>
      </c>
      <c r="I8" s="18">
        <f>IF(A8="","",MONTH(A8))</f>
        <v/>
      </c>
    </row>
    <row r="9">
      <c r="A9" s="18" t="n"/>
      <c r="B9" s="18" t="n"/>
      <c r="C9" s="18" t="n"/>
      <c r="D9" s="18" t="n"/>
      <c r="E9" s="20" t="n"/>
      <c r="F9" s="20">
        <f>IF(OR(D9="",E9=""),"",D9*E9)</f>
        <v/>
      </c>
      <c r="G9" s="18" t="n"/>
      <c r="H9" s="18">
        <f>IF(A9="","",YEAR(A9))</f>
        <v/>
      </c>
      <c r="I9" s="18">
        <f>IF(A9="","",MONTH(A9))</f>
        <v/>
      </c>
    </row>
    <row r="10">
      <c r="A10" s="18" t="n"/>
      <c r="B10" s="18" t="n"/>
      <c r="C10" s="18" t="n"/>
      <c r="D10" s="18" t="n"/>
      <c r="E10" s="20" t="n"/>
      <c r="F10" s="20">
        <f>IF(OR(D10="",E10=""),"",D10*E10)</f>
        <v/>
      </c>
      <c r="G10" s="18" t="n"/>
      <c r="H10" s="18">
        <f>IF(A10="","",YEAR(A10))</f>
        <v/>
      </c>
      <c r="I10" s="18">
        <f>IF(A10="","",MONTH(A10))</f>
        <v/>
      </c>
    </row>
    <row r="11">
      <c r="A11" s="18" t="n"/>
      <c r="B11" s="18" t="n"/>
      <c r="C11" s="18" t="n"/>
      <c r="D11" s="18" t="n"/>
      <c r="E11" s="20" t="n"/>
      <c r="F11" s="20">
        <f>IF(OR(D11="",E11=""),"",D11*E11)</f>
        <v/>
      </c>
      <c r="G11" s="18" t="n"/>
      <c r="H11" s="18">
        <f>IF(A11="","",YEAR(A11))</f>
        <v/>
      </c>
      <c r="I11" s="18">
        <f>IF(A11="","",MONTH(A11))</f>
        <v/>
      </c>
    </row>
    <row r="12">
      <c r="A12" s="18" t="n"/>
      <c r="B12" s="18" t="n"/>
      <c r="C12" s="18" t="n"/>
      <c r="D12" s="18" t="n"/>
      <c r="E12" s="20" t="n"/>
      <c r="F12" s="20">
        <f>IF(OR(D12="",E12=""),"",D12*E12)</f>
        <v/>
      </c>
      <c r="G12" s="18" t="n"/>
      <c r="H12" s="18">
        <f>IF(A12="","",YEAR(A12))</f>
        <v/>
      </c>
      <c r="I12" s="18">
        <f>IF(A12="","",MONTH(A12))</f>
        <v/>
      </c>
    </row>
    <row r="13">
      <c r="A13" s="18" t="n"/>
      <c r="B13" s="18" t="n"/>
      <c r="C13" s="18" t="n"/>
      <c r="D13" s="18" t="n"/>
      <c r="E13" s="20" t="n"/>
      <c r="F13" s="20">
        <f>IF(OR(D13="",E13=""),"",D13*E13)</f>
        <v/>
      </c>
      <c r="G13" s="18" t="n"/>
      <c r="H13" s="18">
        <f>IF(A13="","",YEAR(A13))</f>
        <v/>
      </c>
      <c r="I13" s="18">
        <f>IF(A13="","",MONTH(A13))</f>
        <v/>
      </c>
    </row>
    <row r="14">
      <c r="A14" s="18" t="n"/>
      <c r="B14" s="18" t="n"/>
      <c r="C14" s="18" t="n"/>
      <c r="D14" s="18" t="n"/>
      <c r="E14" s="20" t="n"/>
      <c r="F14" s="20">
        <f>IF(OR(D14="",E14=""),"",D14*E14)</f>
        <v/>
      </c>
      <c r="G14" s="18" t="n"/>
      <c r="H14" s="18">
        <f>IF(A14="","",YEAR(A14))</f>
        <v/>
      </c>
      <c r="I14" s="18">
        <f>IF(A14="","",MONTH(A14))</f>
        <v/>
      </c>
    </row>
    <row r="15">
      <c r="A15" s="18" t="n"/>
      <c r="B15" s="18" t="n"/>
      <c r="C15" s="18" t="n"/>
      <c r="D15" s="18" t="n"/>
      <c r="E15" s="20" t="n"/>
      <c r="F15" s="20">
        <f>IF(OR(D15="",E15=""),"",D15*E15)</f>
        <v/>
      </c>
      <c r="G15" s="18" t="n"/>
      <c r="H15" s="18">
        <f>IF(A15="","",YEAR(A15))</f>
        <v/>
      </c>
      <c r="I15" s="18">
        <f>IF(A15="","",MONTH(A15))</f>
        <v/>
      </c>
    </row>
    <row r="16">
      <c r="A16" s="18" t="n"/>
      <c r="B16" s="18" t="n"/>
      <c r="C16" s="18" t="n"/>
      <c r="D16" s="18" t="n"/>
      <c r="E16" s="20" t="n"/>
      <c r="F16" s="20">
        <f>IF(OR(D16="",E16=""),"",D16*E16)</f>
        <v/>
      </c>
      <c r="G16" s="18" t="n"/>
      <c r="H16" s="18">
        <f>IF(A16="","",YEAR(A16))</f>
        <v/>
      </c>
      <c r="I16" s="18">
        <f>IF(A16="","",MONTH(A16))</f>
        <v/>
      </c>
    </row>
    <row r="17">
      <c r="A17" s="18" t="n"/>
      <c r="B17" s="18" t="n"/>
      <c r="C17" s="18" t="n"/>
      <c r="D17" s="18" t="n"/>
      <c r="E17" s="20" t="n"/>
      <c r="F17" s="20">
        <f>IF(OR(D17="",E17=""),"",D17*E17)</f>
        <v/>
      </c>
      <c r="G17" s="18" t="n"/>
      <c r="H17" s="18">
        <f>IF(A17="","",YEAR(A17))</f>
        <v/>
      </c>
      <c r="I17" s="18">
        <f>IF(A17="","",MONTH(A17))</f>
        <v/>
      </c>
    </row>
    <row r="18">
      <c r="A18" s="18" t="n"/>
      <c r="B18" s="18" t="n"/>
      <c r="C18" s="18" t="n"/>
      <c r="D18" s="18" t="n"/>
      <c r="E18" s="20" t="n"/>
      <c r="F18" s="20">
        <f>IF(OR(D18="",E18=""),"",D18*E18)</f>
        <v/>
      </c>
      <c r="G18" s="18" t="n"/>
      <c r="H18" s="18">
        <f>IF(A18="","",YEAR(A18))</f>
        <v/>
      </c>
      <c r="I18" s="18">
        <f>IF(A18="","",MONTH(A18))</f>
        <v/>
      </c>
    </row>
    <row r="19">
      <c r="A19" s="18" t="n"/>
      <c r="B19" s="18" t="n"/>
      <c r="C19" s="18" t="n"/>
      <c r="D19" s="18" t="n"/>
      <c r="E19" s="20" t="n"/>
      <c r="F19" s="20">
        <f>IF(OR(D19="",E19=""),"",D19*E19)</f>
        <v/>
      </c>
      <c r="G19" s="18" t="n"/>
      <c r="H19" s="18">
        <f>IF(A19="","",YEAR(A19))</f>
        <v/>
      </c>
      <c r="I19" s="18">
        <f>IF(A19="","",MONTH(A19))</f>
        <v/>
      </c>
    </row>
    <row r="20">
      <c r="A20" s="18" t="n"/>
      <c r="B20" s="18" t="n"/>
      <c r="C20" s="18" t="n"/>
      <c r="D20" s="18" t="n"/>
      <c r="E20" s="20" t="n"/>
      <c r="F20" s="20">
        <f>IF(OR(D20="",E20=""),"",D20*E20)</f>
        <v/>
      </c>
      <c r="G20" s="18" t="n"/>
      <c r="H20" s="18">
        <f>IF(A20="","",YEAR(A20))</f>
        <v/>
      </c>
      <c r="I20" s="18">
        <f>IF(A20="","",MONTH(A20))</f>
        <v/>
      </c>
    </row>
    <row r="21">
      <c r="A21" s="18" t="n"/>
      <c r="B21" s="18" t="n"/>
      <c r="C21" s="18" t="n"/>
      <c r="D21" s="18" t="n"/>
      <c r="E21" s="20" t="n"/>
      <c r="F21" s="20">
        <f>IF(OR(D21="",E21=""),"",D21*E21)</f>
        <v/>
      </c>
      <c r="G21" s="18" t="n"/>
      <c r="H21" s="18">
        <f>IF(A21="","",YEAR(A21))</f>
        <v/>
      </c>
      <c r="I21" s="18">
        <f>IF(A21="","",MONTH(A21))</f>
        <v/>
      </c>
    </row>
    <row r="22">
      <c r="A22" s="18" t="n"/>
      <c r="B22" s="18" t="n"/>
      <c r="C22" s="18" t="n"/>
      <c r="D22" s="18" t="n"/>
      <c r="E22" s="20" t="n"/>
      <c r="F22" s="20">
        <f>IF(OR(D22="",E22=""),"",D22*E22)</f>
        <v/>
      </c>
      <c r="G22" s="18" t="n"/>
      <c r="H22" s="18">
        <f>IF(A22="","",YEAR(A22))</f>
        <v/>
      </c>
      <c r="I22" s="18">
        <f>IF(A22="","",MONTH(A22))</f>
        <v/>
      </c>
    </row>
    <row r="23">
      <c r="A23" s="18" t="n"/>
      <c r="B23" s="18" t="n"/>
      <c r="C23" s="18" t="n"/>
      <c r="D23" s="18" t="n"/>
      <c r="E23" s="20" t="n"/>
      <c r="F23" s="20">
        <f>IF(OR(D23="",E23=""),"",D23*E23)</f>
        <v/>
      </c>
      <c r="G23" s="18" t="n"/>
      <c r="H23" s="18">
        <f>IF(A23="","",YEAR(A23))</f>
        <v/>
      </c>
      <c r="I23" s="18">
        <f>IF(A23="","",MONTH(A23))</f>
        <v/>
      </c>
    </row>
    <row r="24">
      <c r="A24" s="18" t="n"/>
      <c r="B24" s="18" t="n"/>
      <c r="C24" s="18" t="n"/>
      <c r="D24" s="18" t="n"/>
      <c r="E24" s="20" t="n"/>
      <c r="F24" s="20">
        <f>IF(OR(D24="",E24=""),"",D24*E24)</f>
        <v/>
      </c>
      <c r="G24" s="18" t="n"/>
      <c r="H24" s="18">
        <f>IF(A24="","",YEAR(A24))</f>
        <v/>
      </c>
      <c r="I24" s="18">
        <f>IF(A24="","",MONTH(A24))</f>
        <v/>
      </c>
    </row>
    <row r="25">
      <c r="A25" s="18" t="n"/>
      <c r="B25" s="18" t="n"/>
      <c r="C25" s="18" t="n"/>
      <c r="D25" s="18" t="n"/>
      <c r="E25" s="20" t="n"/>
      <c r="F25" s="20">
        <f>IF(OR(D25="",E25=""),"",D25*E25)</f>
        <v/>
      </c>
      <c r="G25" s="18" t="n"/>
      <c r="H25" s="18">
        <f>IF(A25="","",YEAR(A25))</f>
        <v/>
      </c>
      <c r="I25" s="18">
        <f>IF(A25="","",MONTH(A25))</f>
        <v/>
      </c>
    </row>
    <row r="26">
      <c r="A26" s="18" t="n"/>
      <c r="B26" s="18" t="n"/>
      <c r="C26" s="18" t="n"/>
      <c r="D26" s="18" t="n"/>
      <c r="E26" s="20" t="n"/>
      <c r="F26" s="20">
        <f>IF(OR(D26="",E26=""),"",D26*E26)</f>
        <v/>
      </c>
      <c r="G26" s="18" t="n"/>
      <c r="H26" s="18">
        <f>IF(A26="","",YEAR(A26))</f>
        <v/>
      </c>
      <c r="I26" s="18">
        <f>IF(A26="","",MONTH(A26))</f>
        <v/>
      </c>
    </row>
    <row r="27">
      <c r="A27" s="18" t="n"/>
      <c r="B27" s="18" t="n"/>
      <c r="C27" s="18" t="n"/>
      <c r="D27" s="18" t="n"/>
      <c r="E27" s="20" t="n"/>
      <c r="F27" s="20">
        <f>IF(OR(D27="",E27=""),"",D27*E27)</f>
        <v/>
      </c>
      <c r="G27" s="18" t="n"/>
      <c r="H27" s="18">
        <f>IF(A27="","",YEAR(A27))</f>
        <v/>
      </c>
      <c r="I27" s="18">
        <f>IF(A27="","",MONTH(A27))</f>
        <v/>
      </c>
    </row>
    <row r="28">
      <c r="A28" s="18" t="n"/>
      <c r="B28" s="18" t="n"/>
      <c r="C28" s="18" t="n"/>
      <c r="D28" s="18" t="n"/>
      <c r="E28" s="20" t="n"/>
      <c r="F28" s="20">
        <f>IF(OR(D28="",E28=""),"",D28*E28)</f>
        <v/>
      </c>
      <c r="G28" s="18" t="n"/>
      <c r="H28" s="18">
        <f>IF(A28="","",YEAR(A28))</f>
        <v/>
      </c>
      <c r="I28" s="18">
        <f>IF(A28="","",MONTH(A28))</f>
        <v/>
      </c>
    </row>
    <row r="29">
      <c r="A29" s="18" t="n"/>
      <c r="B29" s="18" t="n"/>
      <c r="C29" s="18" t="n"/>
      <c r="D29" s="18" t="n"/>
      <c r="E29" s="20" t="n"/>
      <c r="F29" s="20">
        <f>IF(OR(D29="",E29=""),"",D29*E29)</f>
        <v/>
      </c>
      <c r="G29" s="18" t="n"/>
      <c r="H29" s="18">
        <f>IF(A29="","",YEAR(A29))</f>
        <v/>
      </c>
      <c r="I29" s="18">
        <f>IF(A29="","",MONTH(A29))</f>
        <v/>
      </c>
    </row>
    <row r="30">
      <c r="A30" s="18" t="n"/>
      <c r="B30" s="18" t="n"/>
      <c r="C30" s="18" t="n"/>
      <c r="D30" s="18" t="n"/>
      <c r="E30" s="20" t="n"/>
      <c r="F30" s="20">
        <f>IF(OR(D30="",E30=""),"",D30*E30)</f>
        <v/>
      </c>
      <c r="G30" s="18" t="n"/>
      <c r="H30" s="18">
        <f>IF(A30="","",YEAR(A30))</f>
        <v/>
      </c>
      <c r="I30" s="18">
        <f>IF(A30="","",MONTH(A30))</f>
        <v/>
      </c>
    </row>
    <row r="31">
      <c r="A31" s="18" t="n"/>
      <c r="B31" s="18" t="n"/>
      <c r="C31" s="18" t="n"/>
      <c r="D31" s="18" t="n"/>
      <c r="E31" s="20" t="n"/>
      <c r="F31" s="20">
        <f>IF(OR(D31="",E31=""),"",D31*E31)</f>
        <v/>
      </c>
      <c r="G31" s="18" t="n"/>
      <c r="H31" s="18">
        <f>IF(A31="","",YEAR(A31))</f>
        <v/>
      </c>
      <c r="I31" s="18">
        <f>IF(A31="","",MONTH(A31))</f>
        <v/>
      </c>
    </row>
    <row r="32">
      <c r="A32" s="18" t="n"/>
      <c r="B32" s="18" t="n"/>
      <c r="C32" s="18" t="n"/>
      <c r="D32" s="18" t="n"/>
      <c r="E32" s="20" t="n"/>
      <c r="F32" s="20">
        <f>IF(OR(D32="",E32=""),"",D32*E32)</f>
        <v/>
      </c>
      <c r="G32" s="18" t="n"/>
      <c r="H32" s="18">
        <f>IF(A32="","",YEAR(A32))</f>
        <v/>
      </c>
      <c r="I32" s="18">
        <f>IF(A32="","",MONTH(A32))</f>
        <v/>
      </c>
    </row>
    <row r="33">
      <c r="A33" s="18" t="n"/>
      <c r="B33" s="18" t="n"/>
      <c r="C33" s="18" t="n"/>
      <c r="D33" s="18" t="n"/>
      <c r="E33" s="20" t="n"/>
      <c r="F33" s="20">
        <f>IF(OR(D33="",E33=""),"",D33*E33)</f>
        <v/>
      </c>
      <c r="G33" s="18" t="n"/>
      <c r="H33" s="18">
        <f>IF(A33="","",YEAR(A33))</f>
        <v/>
      </c>
      <c r="I33" s="18">
        <f>IF(A33="","",MONTH(A33))</f>
        <v/>
      </c>
    </row>
    <row r="34">
      <c r="A34" s="18" t="n"/>
      <c r="B34" s="18" t="n"/>
      <c r="C34" s="18" t="n"/>
      <c r="D34" s="18" t="n"/>
      <c r="E34" s="20" t="n"/>
      <c r="F34" s="20">
        <f>IF(OR(D34="",E34=""),"",D34*E34)</f>
        <v/>
      </c>
      <c r="G34" s="18" t="n"/>
      <c r="H34" s="18">
        <f>IF(A34="","",YEAR(A34))</f>
        <v/>
      </c>
      <c r="I34" s="18">
        <f>IF(A34="","",MONTH(A34))</f>
        <v/>
      </c>
    </row>
    <row r="35">
      <c r="A35" s="18" t="n"/>
      <c r="B35" s="18" t="n"/>
      <c r="C35" s="18" t="n"/>
      <c r="D35" s="18" t="n"/>
      <c r="E35" s="20" t="n"/>
      <c r="F35" s="20">
        <f>IF(OR(D35="",E35=""),"",D35*E35)</f>
        <v/>
      </c>
      <c r="G35" s="18" t="n"/>
      <c r="H35" s="18">
        <f>IF(A35="","",YEAR(A35))</f>
        <v/>
      </c>
      <c r="I35" s="18">
        <f>IF(A35="","",MONTH(A35))</f>
        <v/>
      </c>
    </row>
    <row r="36">
      <c r="A36" s="18" t="n"/>
      <c r="B36" s="18" t="n"/>
      <c r="C36" s="18" t="n"/>
      <c r="D36" s="18" t="n"/>
      <c r="E36" s="20" t="n"/>
      <c r="F36" s="20">
        <f>IF(OR(D36="",E36=""),"",D36*E36)</f>
        <v/>
      </c>
      <c r="G36" s="18" t="n"/>
      <c r="H36" s="18">
        <f>IF(A36="","",YEAR(A36))</f>
        <v/>
      </c>
      <c r="I36" s="18">
        <f>IF(A36="","",MONTH(A36))</f>
        <v/>
      </c>
    </row>
    <row r="37">
      <c r="A37" s="18" t="n"/>
      <c r="B37" s="18" t="n"/>
      <c r="C37" s="18" t="n"/>
      <c r="D37" s="18" t="n"/>
      <c r="E37" s="20" t="n"/>
      <c r="F37" s="20">
        <f>IF(OR(D37="",E37=""),"",D37*E37)</f>
        <v/>
      </c>
      <c r="G37" s="18" t="n"/>
      <c r="H37" s="18">
        <f>IF(A37="","",YEAR(A37))</f>
        <v/>
      </c>
      <c r="I37" s="18">
        <f>IF(A37="","",MONTH(A37))</f>
        <v/>
      </c>
    </row>
    <row r="38">
      <c r="A38" s="18" t="n"/>
      <c r="B38" s="18" t="n"/>
      <c r="C38" s="18" t="n"/>
      <c r="D38" s="18" t="n"/>
      <c r="E38" s="20" t="n"/>
      <c r="F38" s="20">
        <f>IF(OR(D38="",E38=""),"",D38*E38)</f>
        <v/>
      </c>
      <c r="G38" s="18" t="n"/>
      <c r="H38" s="18">
        <f>IF(A38="","",YEAR(A38))</f>
        <v/>
      </c>
      <c r="I38" s="18">
        <f>IF(A38="","",MONTH(A38))</f>
        <v/>
      </c>
    </row>
    <row r="39">
      <c r="A39" s="18" t="n"/>
      <c r="B39" s="18" t="n"/>
      <c r="C39" s="18" t="n"/>
      <c r="D39" s="18" t="n"/>
      <c r="E39" s="20" t="n"/>
      <c r="F39" s="20">
        <f>IF(OR(D39="",E39=""),"",D39*E39)</f>
        <v/>
      </c>
      <c r="G39" s="18" t="n"/>
      <c r="H39" s="18">
        <f>IF(A39="","",YEAR(A39))</f>
        <v/>
      </c>
      <c r="I39" s="18">
        <f>IF(A39="","",MONTH(A39))</f>
        <v/>
      </c>
    </row>
    <row r="40">
      <c r="A40" s="18" t="n"/>
      <c r="B40" s="18" t="n"/>
      <c r="C40" s="18" t="n"/>
      <c r="D40" s="18" t="n"/>
      <c r="E40" s="20" t="n"/>
      <c r="F40" s="20">
        <f>IF(OR(D40="",E40=""),"",D40*E40)</f>
        <v/>
      </c>
      <c r="G40" s="18" t="n"/>
      <c r="H40" s="18">
        <f>IF(A40="","",YEAR(A40))</f>
        <v/>
      </c>
      <c r="I40" s="18">
        <f>IF(A40="","",MONTH(A40))</f>
        <v/>
      </c>
    </row>
    <row r="41">
      <c r="A41" s="18" t="n"/>
      <c r="B41" s="18" t="n"/>
      <c r="C41" s="18" t="n"/>
      <c r="D41" s="18" t="n"/>
      <c r="E41" s="20" t="n"/>
      <c r="F41" s="20">
        <f>IF(OR(D41="",E41=""),"",D41*E41)</f>
        <v/>
      </c>
      <c r="G41" s="18" t="n"/>
      <c r="H41" s="18">
        <f>IF(A41="","",YEAR(A41))</f>
        <v/>
      </c>
      <c r="I41" s="18">
        <f>IF(A41="","",MONTH(A41))</f>
        <v/>
      </c>
    </row>
    <row r="42">
      <c r="A42" s="18" t="n"/>
      <c r="B42" s="18" t="n"/>
      <c r="C42" s="18" t="n"/>
      <c r="D42" s="18" t="n"/>
      <c r="E42" s="20" t="n"/>
      <c r="F42" s="20">
        <f>IF(OR(D42="",E42=""),"",D42*E42)</f>
        <v/>
      </c>
      <c r="G42" s="18" t="n"/>
      <c r="H42" s="18">
        <f>IF(A42="","",YEAR(A42))</f>
        <v/>
      </c>
      <c r="I42" s="18">
        <f>IF(A42="","",MONTH(A42))</f>
        <v/>
      </c>
    </row>
    <row r="43">
      <c r="A43" s="18" t="n"/>
      <c r="B43" s="18" t="n"/>
      <c r="C43" s="18" t="n"/>
      <c r="D43" s="18" t="n"/>
      <c r="E43" s="20" t="n"/>
      <c r="F43" s="20">
        <f>IF(OR(D43="",E43=""),"",D43*E43)</f>
        <v/>
      </c>
      <c r="G43" s="18" t="n"/>
      <c r="H43" s="18">
        <f>IF(A43="","",YEAR(A43))</f>
        <v/>
      </c>
      <c r="I43" s="18">
        <f>IF(A43="","",MONTH(A43))</f>
        <v/>
      </c>
    </row>
    <row r="44">
      <c r="A44" s="18" t="n"/>
      <c r="B44" s="18" t="n"/>
      <c r="C44" s="18" t="n"/>
      <c r="D44" s="18" t="n"/>
      <c r="E44" s="20" t="n"/>
      <c r="F44" s="20">
        <f>IF(OR(D44="",E44=""),"",D44*E44)</f>
        <v/>
      </c>
      <c r="G44" s="18" t="n"/>
      <c r="H44" s="18">
        <f>IF(A44="","",YEAR(A44))</f>
        <v/>
      </c>
      <c r="I44" s="18">
        <f>IF(A44="","",MONTH(A44))</f>
        <v/>
      </c>
    </row>
    <row r="45">
      <c r="A45" s="18" t="n"/>
      <c r="B45" s="18" t="n"/>
      <c r="C45" s="18" t="n"/>
      <c r="D45" s="18" t="n"/>
      <c r="E45" s="20" t="n"/>
      <c r="F45" s="20">
        <f>IF(OR(D45="",E45=""),"",D45*E45)</f>
        <v/>
      </c>
      <c r="G45" s="18" t="n"/>
      <c r="H45" s="18">
        <f>IF(A45="","",YEAR(A45))</f>
        <v/>
      </c>
      <c r="I45" s="18">
        <f>IF(A45="","",MONTH(A45))</f>
        <v/>
      </c>
    </row>
    <row r="46">
      <c r="A46" s="18" t="n"/>
      <c r="B46" s="18" t="n"/>
      <c r="C46" s="18" t="n"/>
      <c r="D46" s="18" t="n"/>
      <c r="E46" s="20" t="n"/>
      <c r="F46" s="20">
        <f>IF(OR(D46="",E46=""),"",D46*E46)</f>
        <v/>
      </c>
      <c r="G46" s="18" t="n"/>
      <c r="H46" s="18">
        <f>IF(A46="","",YEAR(A46))</f>
        <v/>
      </c>
      <c r="I46" s="18">
        <f>IF(A46="","",MONTH(A46))</f>
        <v/>
      </c>
    </row>
    <row r="47">
      <c r="A47" s="18" t="n"/>
      <c r="B47" s="18" t="n"/>
      <c r="C47" s="18" t="n"/>
      <c r="D47" s="18" t="n"/>
      <c r="E47" s="20" t="n"/>
      <c r="F47" s="20">
        <f>IF(OR(D47="",E47=""),"",D47*E47)</f>
        <v/>
      </c>
      <c r="G47" s="18" t="n"/>
      <c r="H47" s="18">
        <f>IF(A47="","",YEAR(A47))</f>
        <v/>
      </c>
      <c r="I47" s="18">
        <f>IF(A47="","",MONTH(A47))</f>
        <v/>
      </c>
    </row>
    <row r="48">
      <c r="A48" s="18" t="n"/>
      <c r="B48" s="18" t="n"/>
      <c r="C48" s="18" t="n"/>
      <c r="D48" s="18" t="n"/>
      <c r="E48" s="20" t="n"/>
      <c r="F48" s="20">
        <f>IF(OR(D48="",E48=""),"",D48*E48)</f>
        <v/>
      </c>
      <c r="G48" s="18" t="n"/>
      <c r="H48" s="18">
        <f>IF(A48="","",YEAR(A48))</f>
        <v/>
      </c>
      <c r="I48" s="18">
        <f>IF(A48="","",MONTH(A48))</f>
        <v/>
      </c>
    </row>
    <row r="49">
      <c r="A49" s="18" t="n"/>
      <c r="B49" s="18" t="n"/>
      <c r="C49" s="18" t="n"/>
      <c r="D49" s="18" t="n"/>
      <c r="E49" s="20" t="n"/>
      <c r="F49" s="20">
        <f>IF(OR(D49="",E49=""),"",D49*E49)</f>
        <v/>
      </c>
      <c r="G49" s="18" t="n"/>
      <c r="H49" s="18">
        <f>IF(A49="","",YEAR(A49))</f>
        <v/>
      </c>
      <c r="I49" s="18">
        <f>IF(A49="","",MONTH(A49))</f>
        <v/>
      </c>
    </row>
    <row r="50">
      <c r="A50" s="18" t="n"/>
      <c r="B50" s="18" t="n"/>
      <c r="C50" s="18" t="n"/>
      <c r="D50" s="18" t="n"/>
      <c r="E50" s="20" t="n"/>
      <c r="F50" s="20">
        <f>IF(OR(D50="",E50=""),"",D50*E50)</f>
        <v/>
      </c>
      <c r="G50" s="18" t="n"/>
      <c r="H50" s="18">
        <f>IF(A50="","",YEAR(A50))</f>
        <v/>
      </c>
      <c r="I50" s="18">
        <f>IF(A50="","",MONTH(A50))</f>
        <v/>
      </c>
    </row>
    <row r="51">
      <c r="A51" s="18" t="n"/>
      <c r="B51" s="18" t="n"/>
      <c r="C51" s="18" t="n"/>
      <c r="D51" s="18" t="n"/>
      <c r="E51" s="20" t="n"/>
      <c r="F51" s="20">
        <f>IF(OR(D51="",E51=""),"",D51*E51)</f>
        <v/>
      </c>
      <c r="G51" s="18" t="n"/>
      <c r="H51" s="18">
        <f>IF(A51="","",YEAR(A51))</f>
        <v/>
      </c>
      <c r="I51" s="18">
        <f>IF(A51="","",MONTH(A51))</f>
        <v/>
      </c>
    </row>
    <row r="52">
      <c r="A52" s="18" t="n"/>
      <c r="B52" s="18" t="n"/>
      <c r="C52" s="18" t="n"/>
      <c r="D52" s="18" t="n"/>
      <c r="E52" s="20" t="n"/>
      <c r="F52" s="20">
        <f>IF(OR(D52="",E52=""),"",D52*E52)</f>
        <v/>
      </c>
      <c r="G52" s="18" t="n"/>
      <c r="H52" s="18">
        <f>IF(A52="","",YEAR(A52))</f>
        <v/>
      </c>
      <c r="I52" s="18">
        <f>IF(A52="","",MONTH(A52))</f>
        <v/>
      </c>
    </row>
    <row r="53">
      <c r="A53" s="18" t="n"/>
      <c r="B53" s="18" t="n"/>
      <c r="C53" s="18" t="n"/>
      <c r="D53" s="18" t="n"/>
      <c r="E53" s="20" t="n"/>
      <c r="F53" s="20">
        <f>IF(OR(D53="",E53=""),"",D53*E53)</f>
        <v/>
      </c>
      <c r="G53" s="18" t="n"/>
      <c r="H53" s="18">
        <f>IF(A53="","",YEAR(A53))</f>
        <v/>
      </c>
      <c r="I53" s="18">
        <f>IF(A53="","",MONTH(A53))</f>
        <v/>
      </c>
    </row>
    <row r="54">
      <c r="A54" s="18" t="n"/>
      <c r="B54" s="18" t="n"/>
      <c r="C54" s="18" t="n"/>
      <c r="D54" s="18" t="n"/>
      <c r="E54" s="20" t="n"/>
      <c r="F54" s="20">
        <f>IF(OR(D54="",E54=""),"",D54*E54)</f>
        <v/>
      </c>
      <c r="G54" s="18" t="n"/>
      <c r="H54" s="18">
        <f>IF(A54="","",YEAR(A54))</f>
        <v/>
      </c>
      <c r="I54" s="18">
        <f>IF(A54="","",MONTH(A54))</f>
        <v/>
      </c>
    </row>
    <row r="55">
      <c r="A55" s="18" t="n"/>
      <c r="B55" s="18" t="n"/>
      <c r="C55" s="18" t="n"/>
      <c r="D55" s="18" t="n"/>
      <c r="E55" s="20" t="n"/>
      <c r="F55" s="20">
        <f>IF(OR(D55="",E55=""),"",D55*E55)</f>
        <v/>
      </c>
      <c r="G55" s="18" t="n"/>
      <c r="H55" s="18">
        <f>IF(A55="","",YEAR(A55))</f>
        <v/>
      </c>
      <c r="I55" s="18">
        <f>IF(A55="","",MONTH(A55))</f>
        <v/>
      </c>
    </row>
    <row r="56">
      <c r="A56" s="18" t="n"/>
      <c r="B56" s="18" t="n"/>
      <c r="C56" s="18" t="n"/>
      <c r="D56" s="18" t="n"/>
      <c r="E56" s="20" t="n"/>
      <c r="F56" s="20">
        <f>IF(OR(D56="",E56=""),"",D56*E56)</f>
        <v/>
      </c>
      <c r="G56" s="18" t="n"/>
      <c r="H56" s="18">
        <f>IF(A56="","",YEAR(A56))</f>
        <v/>
      </c>
      <c r="I56" s="18">
        <f>IF(A56="","",MONTH(A56))</f>
        <v/>
      </c>
    </row>
    <row r="57">
      <c r="A57" s="18" t="n"/>
      <c r="B57" s="18" t="n"/>
      <c r="C57" s="18" t="n"/>
      <c r="D57" s="18" t="n"/>
      <c r="E57" s="20" t="n"/>
      <c r="F57" s="20">
        <f>IF(OR(D57="",E57=""),"",D57*E57)</f>
        <v/>
      </c>
      <c r="G57" s="18" t="n"/>
      <c r="H57" s="18">
        <f>IF(A57="","",YEAR(A57))</f>
        <v/>
      </c>
      <c r="I57" s="18">
        <f>IF(A57="","",MONTH(A57))</f>
        <v/>
      </c>
    </row>
    <row r="58">
      <c r="A58" s="18" t="n"/>
      <c r="B58" s="18" t="n"/>
      <c r="C58" s="18" t="n"/>
      <c r="D58" s="18" t="n"/>
      <c r="E58" s="20" t="n"/>
      <c r="F58" s="20">
        <f>IF(OR(D58="",E58=""),"",D58*E58)</f>
        <v/>
      </c>
      <c r="G58" s="18" t="n"/>
      <c r="H58" s="18">
        <f>IF(A58="","",YEAR(A58))</f>
        <v/>
      </c>
      <c r="I58" s="18">
        <f>IF(A58="","",MONTH(A58))</f>
        <v/>
      </c>
    </row>
    <row r="59">
      <c r="A59" s="18" t="n"/>
      <c r="B59" s="18" t="n"/>
      <c r="C59" s="18" t="n"/>
      <c r="D59" s="18" t="n"/>
      <c r="E59" s="20" t="n"/>
      <c r="F59" s="20">
        <f>IF(OR(D59="",E59=""),"",D59*E59)</f>
        <v/>
      </c>
      <c r="G59" s="18" t="n"/>
      <c r="H59" s="18">
        <f>IF(A59="","",YEAR(A59))</f>
        <v/>
      </c>
      <c r="I59" s="18">
        <f>IF(A59="","",MONTH(A59))</f>
        <v/>
      </c>
    </row>
    <row r="60">
      <c r="A60" s="18" t="n"/>
      <c r="B60" s="18" t="n"/>
      <c r="C60" s="18" t="n"/>
      <c r="D60" s="18" t="n"/>
      <c r="E60" s="20" t="n"/>
      <c r="F60" s="20">
        <f>IF(OR(D60="",E60=""),"",D60*E60)</f>
        <v/>
      </c>
      <c r="G60" s="18" t="n"/>
      <c r="H60" s="18">
        <f>IF(A60="","",YEAR(A60))</f>
        <v/>
      </c>
      <c r="I60" s="18">
        <f>IF(A60="","",MONTH(A60))</f>
        <v/>
      </c>
    </row>
    <row r="61">
      <c r="A61" s="18" t="n"/>
      <c r="B61" s="18" t="n"/>
      <c r="C61" s="18" t="n"/>
      <c r="D61" s="18" t="n"/>
      <c r="E61" s="20" t="n"/>
      <c r="F61" s="20">
        <f>IF(OR(D61="",E61=""),"",D61*E61)</f>
        <v/>
      </c>
      <c r="G61" s="18" t="n"/>
      <c r="H61" s="18">
        <f>IF(A61="","",YEAR(A61))</f>
        <v/>
      </c>
      <c r="I61" s="18">
        <f>IF(A61="","",MONTH(A61))</f>
        <v/>
      </c>
    </row>
    <row r="62">
      <c r="A62" s="18" t="n"/>
      <c r="B62" s="18" t="n"/>
      <c r="C62" s="18" t="n"/>
      <c r="D62" s="18" t="n"/>
      <c r="E62" s="20" t="n"/>
      <c r="F62" s="20">
        <f>IF(OR(D62="",E62=""),"",D62*E62)</f>
        <v/>
      </c>
      <c r="G62" s="18" t="n"/>
      <c r="H62" s="18">
        <f>IF(A62="","",YEAR(A62))</f>
        <v/>
      </c>
      <c r="I62" s="18">
        <f>IF(A62="","",MONTH(A62))</f>
        <v/>
      </c>
    </row>
    <row r="63">
      <c r="A63" s="18" t="n"/>
      <c r="B63" s="18" t="n"/>
      <c r="C63" s="18" t="n"/>
      <c r="D63" s="18" t="n"/>
      <c r="E63" s="20" t="n"/>
      <c r="F63" s="20">
        <f>IF(OR(D63="",E63=""),"",D63*E63)</f>
        <v/>
      </c>
      <c r="G63" s="18" t="n"/>
      <c r="H63" s="18">
        <f>IF(A63="","",YEAR(A63))</f>
        <v/>
      </c>
      <c r="I63" s="18">
        <f>IF(A63="","",MONTH(A63))</f>
        <v/>
      </c>
    </row>
    <row r="64">
      <c r="A64" s="18" t="n"/>
      <c r="B64" s="18" t="n"/>
      <c r="C64" s="18" t="n"/>
      <c r="D64" s="18" t="n"/>
      <c r="E64" s="20" t="n"/>
      <c r="F64" s="20">
        <f>IF(OR(D64="",E64=""),"",D64*E64)</f>
        <v/>
      </c>
      <c r="G64" s="18" t="n"/>
      <c r="H64" s="18">
        <f>IF(A64="","",YEAR(A64))</f>
        <v/>
      </c>
      <c r="I64" s="18">
        <f>IF(A64="","",MONTH(A64))</f>
        <v/>
      </c>
    </row>
    <row r="65">
      <c r="A65" s="18" t="n"/>
      <c r="B65" s="18" t="n"/>
      <c r="C65" s="18" t="n"/>
      <c r="D65" s="18" t="n"/>
      <c r="E65" s="20" t="n"/>
      <c r="F65" s="20">
        <f>IF(OR(D65="",E65=""),"",D65*E65)</f>
        <v/>
      </c>
      <c r="G65" s="18" t="n"/>
      <c r="H65" s="18">
        <f>IF(A65="","",YEAR(A65))</f>
        <v/>
      </c>
      <c r="I65" s="18">
        <f>IF(A65="","",MONTH(A65))</f>
        <v/>
      </c>
    </row>
    <row r="66">
      <c r="A66" s="18" t="n"/>
      <c r="B66" s="18" t="n"/>
      <c r="C66" s="18" t="n"/>
      <c r="D66" s="18" t="n"/>
      <c r="E66" s="20" t="n"/>
      <c r="F66" s="20">
        <f>IF(OR(D66="",E66=""),"",D66*E66)</f>
        <v/>
      </c>
      <c r="G66" s="18" t="n"/>
      <c r="H66" s="18">
        <f>IF(A66="","",YEAR(A66))</f>
        <v/>
      </c>
      <c r="I66" s="18">
        <f>IF(A66="","",MONTH(A66))</f>
        <v/>
      </c>
    </row>
    <row r="67">
      <c r="A67" s="18" t="n"/>
      <c r="B67" s="18" t="n"/>
      <c r="C67" s="18" t="n"/>
      <c r="D67" s="18" t="n"/>
      <c r="E67" s="20" t="n"/>
      <c r="F67" s="20">
        <f>IF(OR(D67="",E67=""),"",D67*E67)</f>
        <v/>
      </c>
      <c r="G67" s="18" t="n"/>
      <c r="H67" s="18">
        <f>IF(A67="","",YEAR(A67))</f>
        <v/>
      </c>
      <c r="I67" s="18">
        <f>IF(A67="","",MONTH(A67))</f>
        <v/>
      </c>
    </row>
    <row r="68">
      <c r="A68" s="18" t="n"/>
      <c r="B68" s="18" t="n"/>
      <c r="C68" s="18" t="n"/>
      <c r="D68" s="18" t="n"/>
      <c r="E68" s="20" t="n"/>
      <c r="F68" s="20">
        <f>IF(OR(D68="",E68=""),"",D68*E68)</f>
        <v/>
      </c>
      <c r="G68" s="18" t="n"/>
      <c r="H68" s="18">
        <f>IF(A68="","",YEAR(A68))</f>
        <v/>
      </c>
      <c r="I68" s="18">
        <f>IF(A68="","",MONTH(A68))</f>
        <v/>
      </c>
    </row>
    <row r="69">
      <c r="A69" s="18" t="n"/>
      <c r="B69" s="18" t="n"/>
      <c r="C69" s="18" t="n"/>
      <c r="D69" s="18" t="n"/>
      <c r="E69" s="20" t="n"/>
      <c r="F69" s="20">
        <f>IF(OR(D69="",E69=""),"",D69*E69)</f>
        <v/>
      </c>
      <c r="G69" s="18" t="n"/>
      <c r="H69" s="18">
        <f>IF(A69="","",YEAR(A69))</f>
        <v/>
      </c>
      <c r="I69" s="18">
        <f>IF(A69="","",MONTH(A69))</f>
        <v/>
      </c>
    </row>
    <row r="70">
      <c r="A70" s="18" t="n"/>
      <c r="B70" s="18" t="n"/>
      <c r="C70" s="18" t="n"/>
      <c r="D70" s="18" t="n"/>
      <c r="E70" s="20" t="n"/>
      <c r="F70" s="20">
        <f>IF(OR(D70="",E70=""),"",D70*E70)</f>
        <v/>
      </c>
      <c r="G70" s="18" t="n"/>
      <c r="H70" s="18">
        <f>IF(A70="","",YEAR(A70))</f>
        <v/>
      </c>
      <c r="I70" s="18">
        <f>IF(A70="","",MONTH(A70))</f>
        <v/>
      </c>
    </row>
    <row r="71">
      <c r="A71" s="18" t="n"/>
      <c r="B71" s="18" t="n"/>
      <c r="C71" s="18" t="n"/>
      <c r="D71" s="18" t="n"/>
      <c r="E71" s="20" t="n"/>
      <c r="F71" s="20">
        <f>IF(OR(D71="",E71=""),"",D71*E71)</f>
        <v/>
      </c>
      <c r="G71" s="18" t="n"/>
      <c r="H71" s="18">
        <f>IF(A71="","",YEAR(A71))</f>
        <v/>
      </c>
      <c r="I71" s="18">
        <f>IF(A71="","",MONTH(A71))</f>
        <v/>
      </c>
    </row>
    <row r="72">
      <c r="A72" s="18" t="n"/>
      <c r="B72" s="18" t="n"/>
      <c r="C72" s="18" t="n"/>
      <c r="D72" s="18" t="n"/>
      <c r="E72" s="20" t="n"/>
      <c r="F72" s="20">
        <f>IF(OR(D72="",E72=""),"",D72*E72)</f>
        <v/>
      </c>
      <c r="G72" s="18" t="n"/>
      <c r="H72" s="18">
        <f>IF(A72="","",YEAR(A72))</f>
        <v/>
      </c>
      <c r="I72" s="18">
        <f>IF(A72="","",MONTH(A72))</f>
        <v/>
      </c>
    </row>
    <row r="73">
      <c r="A73" s="18" t="n"/>
      <c r="B73" s="18" t="n"/>
      <c r="C73" s="18" t="n"/>
      <c r="D73" s="18" t="n"/>
      <c r="E73" s="20" t="n"/>
      <c r="F73" s="20">
        <f>IF(OR(D73="",E73=""),"",D73*E73)</f>
        <v/>
      </c>
      <c r="G73" s="18" t="n"/>
      <c r="H73" s="18">
        <f>IF(A73="","",YEAR(A73))</f>
        <v/>
      </c>
      <c r="I73" s="18">
        <f>IF(A73="","",MONTH(A73))</f>
        <v/>
      </c>
    </row>
    <row r="74">
      <c r="A74" s="18" t="n"/>
      <c r="B74" s="18" t="n"/>
      <c r="C74" s="18" t="n"/>
      <c r="D74" s="18" t="n"/>
      <c r="E74" s="20" t="n"/>
      <c r="F74" s="20">
        <f>IF(OR(D74="",E74=""),"",D74*E74)</f>
        <v/>
      </c>
      <c r="G74" s="18" t="n"/>
      <c r="H74" s="18">
        <f>IF(A74="","",YEAR(A74))</f>
        <v/>
      </c>
      <c r="I74" s="18">
        <f>IF(A74="","",MONTH(A74))</f>
        <v/>
      </c>
    </row>
    <row r="75">
      <c r="A75" s="18" t="n"/>
      <c r="B75" s="18" t="n"/>
      <c r="C75" s="18" t="n"/>
      <c r="D75" s="18" t="n"/>
      <c r="E75" s="20" t="n"/>
      <c r="F75" s="20">
        <f>IF(OR(D75="",E75=""),"",D75*E75)</f>
        <v/>
      </c>
      <c r="G75" s="18" t="n"/>
      <c r="H75" s="18">
        <f>IF(A75="","",YEAR(A75))</f>
        <v/>
      </c>
      <c r="I75" s="18">
        <f>IF(A75="","",MONTH(A75))</f>
        <v/>
      </c>
    </row>
    <row r="76">
      <c r="A76" s="18" t="n"/>
      <c r="B76" s="18" t="n"/>
      <c r="C76" s="18" t="n"/>
      <c r="D76" s="18" t="n"/>
      <c r="E76" s="20" t="n"/>
      <c r="F76" s="20">
        <f>IF(OR(D76="",E76=""),"",D76*E76)</f>
        <v/>
      </c>
      <c r="G76" s="18" t="n"/>
      <c r="H76" s="18">
        <f>IF(A76="","",YEAR(A76))</f>
        <v/>
      </c>
      <c r="I76" s="18">
        <f>IF(A76="","",MONTH(A76))</f>
        <v/>
      </c>
    </row>
    <row r="77">
      <c r="A77" s="18" t="n"/>
      <c r="B77" s="18" t="n"/>
      <c r="C77" s="18" t="n"/>
      <c r="D77" s="18" t="n"/>
      <c r="E77" s="20" t="n"/>
      <c r="F77" s="20">
        <f>IF(OR(D77="",E77=""),"",D77*E77)</f>
        <v/>
      </c>
      <c r="G77" s="18" t="n"/>
      <c r="H77" s="18">
        <f>IF(A77="","",YEAR(A77))</f>
        <v/>
      </c>
      <c r="I77" s="18">
        <f>IF(A77="","",MONTH(A77))</f>
        <v/>
      </c>
    </row>
    <row r="78">
      <c r="A78" s="18" t="n"/>
      <c r="B78" s="18" t="n"/>
      <c r="C78" s="18" t="n"/>
      <c r="D78" s="18" t="n"/>
      <c r="E78" s="20" t="n"/>
      <c r="F78" s="20">
        <f>IF(OR(D78="",E78=""),"",D78*E78)</f>
        <v/>
      </c>
      <c r="G78" s="18" t="n"/>
      <c r="H78" s="18">
        <f>IF(A78="","",YEAR(A78))</f>
        <v/>
      </c>
      <c r="I78" s="18">
        <f>IF(A78="","",MONTH(A78))</f>
        <v/>
      </c>
    </row>
    <row r="79">
      <c r="A79" s="18" t="n"/>
      <c r="B79" s="18" t="n"/>
      <c r="C79" s="18" t="n"/>
      <c r="D79" s="18" t="n"/>
      <c r="E79" s="20" t="n"/>
      <c r="F79" s="20">
        <f>IF(OR(D79="",E79=""),"",D79*E79)</f>
        <v/>
      </c>
      <c r="G79" s="18" t="n"/>
      <c r="H79" s="18">
        <f>IF(A79="","",YEAR(A79))</f>
        <v/>
      </c>
      <c r="I79" s="18">
        <f>IF(A79="","",MONTH(A79))</f>
        <v/>
      </c>
    </row>
    <row r="80">
      <c r="A80" s="18" t="n"/>
      <c r="B80" s="18" t="n"/>
      <c r="C80" s="18" t="n"/>
      <c r="D80" s="18" t="n"/>
      <c r="E80" s="20" t="n"/>
      <c r="F80" s="20">
        <f>IF(OR(D80="",E80=""),"",D80*E80)</f>
        <v/>
      </c>
      <c r="G80" s="18" t="n"/>
      <c r="H80" s="18">
        <f>IF(A80="","",YEAR(A80))</f>
        <v/>
      </c>
      <c r="I80" s="18">
        <f>IF(A80="","",MONTH(A80))</f>
        <v/>
      </c>
    </row>
    <row r="81">
      <c r="A81" s="18" t="n"/>
      <c r="B81" s="18" t="n"/>
      <c r="C81" s="18" t="n"/>
      <c r="D81" s="18" t="n"/>
      <c r="E81" s="20" t="n"/>
      <c r="F81" s="20">
        <f>IF(OR(D81="",E81=""),"",D81*E81)</f>
        <v/>
      </c>
      <c r="G81" s="18" t="n"/>
      <c r="H81" s="18">
        <f>IF(A81="","",YEAR(A81))</f>
        <v/>
      </c>
      <c r="I81" s="18">
        <f>IF(A81="","",MONTH(A81))</f>
        <v/>
      </c>
    </row>
    <row r="82">
      <c r="A82" s="18" t="n"/>
      <c r="B82" s="18" t="n"/>
      <c r="C82" s="18" t="n"/>
      <c r="D82" s="18" t="n"/>
      <c r="E82" s="20" t="n"/>
      <c r="F82" s="20">
        <f>IF(OR(D82="",E82=""),"",D82*E82)</f>
        <v/>
      </c>
      <c r="G82" s="18" t="n"/>
      <c r="H82" s="18">
        <f>IF(A82="","",YEAR(A82))</f>
        <v/>
      </c>
      <c r="I82" s="18">
        <f>IF(A82="","",MONTH(A82))</f>
        <v/>
      </c>
    </row>
    <row r="83">
      <c r="A83" s="18" t="n"/>
      <c r="B83" s="18" t="n"/>
      <c r="C83" s="18" t="n"/>
      <c r="D83" s="18" t="n"/>
      <c r="E83" s="20" t="n"/>
      <c r="F83" s="20">
        <f>IF(OR(D83="",E83=""),"",D83*E83)</f>
        <v/>
      </c>
      <c r="G83" s="18" t="n"/>
      <c r="H83" s="18">
        <f>IF(A83="","",YEAR(A83))</f>
        <v/>
      </c>
      <c r="I83" s="18">
        <f>IF(A83="","",MONTH(A83))</f>
        <v/>
      </c>
    </row>
    <row r="84">
      <c r="A84" s="18" t="n"/>
      <c r="B84" s="18" t="n"/>
      <c r="C84" s="18" t="n"/>
      <c r="D84" s="18" t="n"/>
      <c r="E84" s="20" t="n"/>
      <c r="F84" s="20">
        <f>IF(OR(D84="",E84=""),"",D84*E84)</f>
        <v/>
      </c>
      <c r="G84" s="18" t="n"/>
      <c r="H84" s="18">
        <f>IF(A84="","",YEAR(A84))</f>
        <v/>
      </c>
      <c r="I84" s="18">
        <f>IF(A84="","",MONTH(A84))</f>
        <v/>
      </c>
    </row>
    <row r="85">
      <c r="A85" s="18" t="n"/>
      <c r="B85" s="18" t="n"/>
      <c r="C85" s="18" t="n"/>
      <c r="D85" s="18" t="n"/>
      <c r="E85" s="20" t="n"/>
      <c r="F85" s="20">
        <f>IF(OR(D85="",E85=""),"",D85*E85)</f>
        <v/>
      </c>
      <c r="G85" s="18" t="n"/>
      <c r="H85" s="18">
        <f>IF(A85="","",YEAR(A85))</f>
        <v/>
      </c>
      <c r="I85" s="18">
        <f>IF(A85="","",MONTH(A85))</f>
        <v/>
      </c>
    </row>
    <row r="86">
      <c r="A86" s="18" t="n"/>
      <c r="B86" s="18" t="n"/>
      <c r="C86" s="18" t="n"/>
      <c r="D86" s="18" t="n"/>
      <c r="E86" s="20" t="n"/>
      <c r="F86" s="20">
        <f>IF(OR(D86="",E86=""),"",D86*E86)</f>
        <v/>
      </c>
      <c r="G86" s="18" t="n"/>
      <c r="H86" s="18">
        <f>IF(A86="","",YEAR(A86))</f>
        <v/>
      </c>
      <c r="I86" s="18">
        <f>IF(A86="","",MONTH(A86))</f>
        <v/>
      </c>
    </row>
    <row r="87">
      <c r="A87" s="18" t="n"/>
      <c r="B87" s="18" t="n"/>
      <c r="C87" s="18" t="n"/>
      <c r="D87" s="18" t="n"/>
      <c r="E87" s="20" t="n"/>
      <c r="F87" s="20">
        <f>IF(OR(D87="",E87=""),"",D87*E87)</f>
        <v/>
      </c>
      <c r="G87" s="18" t="n"/>
      <c r="H87" s="18">
        <f>IF(A87="","",YEAR(A87))</f>
        <v/>
      </c>
      <c r="I87" s="18">
        <f>IF(A87="","",MONTH(A87))</f>
        <v/>
      </c>
    </row>
    <row r="88">
      <c r="A88" s="18" t="n"/>
      <c r="B88" s="18" t="n"/>
      <c r="C88" s="18" t="n"/>
      <c r="D88" s="18" t="n"/>
      <c r="E88" s="20" t="n"/>
      <c r="F88" s="20">
        <f>IF(OR(D88="",E88=""),"",D88*E88)</f>
        <v/>
      </c>
      <c r="G88" s="18" t="n"/>
      <c r="H88" s="18">
        <f>IF(A88="","",YEAR(A88))</f>
        <v/>
      </c>
      <c r="I88" s="18">
        <f>IF(A88="","",MONTH(A88))</f>
        <v/>
      </c>
    </row>
    <row r="89">
      <c r="A89" s="18" t="n"/>
      <c r="B89" s="18" t="n"/>
      <c r="C89" s="18" t="n"/>
      <c r="D89" s="18" t="n"/>
      <c r="E89" s="20" t="n"/>
      <c r="F89" s="20">
        <f>IF(OR(D89="",E89=""),"",D89*E89)</f>
        <v/>
      </c>
      <c r="G89" s="18" t="n"/>
      <c r="H89" s="18">
        <f>IF(A89="","",YEAR(A89))</f>
        <v/>
      </c>
      <c r="I89" s="18">
        <f>IF(A89="","",MONTH(A89))</f>
        <v/>
      </c>
    </row>
    <row r="90">
      <c r="A90" s="18" t="n"/>
      <c r="B90" s="18" t="n"/>
      <c r="C90" s="18" t="n"/>
      <c r="D90" s="18" t="n"/>
      <c r="E90" s="20" t="n"/>
      <c r="F90" s="20">
        <f>IF(OR(D90="",E90=""),"",D90*E90)</f>
        <v/>
      </c>
      <c r="G90" s="18" t="n"/>
      <c r="H90" s="18">
        <f>IF(A90="","",YEAR(A90))</f>
        <v/>
      </c>
      <c r="I90" s="18">
        <f>IF(A90="","",MONTH(A90))</f>
        <v/>
      </c>
    </row>
    <row r="91">
      <c r="A91" s="18" t="n"/>
      <c r="B91" s="18" t="n"/>
      <c r="C91" s="18" t="n"/>
      <c r="D91" s="18" t="n"/>
      <c r="E91" s="20" t="n"/>
      <c r="F91" s="20">
        <f>IF(OR(D91="",E91=""),"",D91*E91)</f>
        <v/>
      </c>
      <c r="G91" s="18" t="n"/>
      <c r="H91" s="18">
        <f>IF(A91="","",YEAR(A91))</f>
        <v/>
      </c>
      <c r="I91" s="18">
        <f>IF(A91="","",MONTH(A91))</f>
        <v/>
      </c>
    </row>
    <row r="92">
      <c r="A92" s="18" t="n"/>
      <c r="B92" s="18" t="n"/>
      <c r="C92" s="18" t="n"/>
      <c r="D92" s="18" t="n"/>
      <c r="E92" s="20" t="n"/>
      <c r="F92" s="20">
        <f>IF(OR(D92="",E92=""),"",D92*E92)</f>
        <v/>
      </c>
      <c r="G92" s="18" t="n"/>
      <c r="H92" s="18">
        <f>IF(A92="","",YEAR(A92))</f>
        <v/>
      </c>
      <c r="I92" s="18">
        <f>IF(A92="","",MONTH(A92))</f>
        <v/>
      </c>
    </row>
    <row r="93">
      <c r="A93" s="18" t="n"/>
      <c r="B93" s="18" t="n"/>
      <c r="C93" s="18" t="n"/>
      <c r="D93" s="18" t="n"/>
      <c r="E93" s="20" t="n"/>
      <c r="F93" s="20">
        <f>IF(OR(D93="",E93=""),"",D93*E93)</f>
        <v/>
      </c>
      <c r="G93" s="18" t="n"/>
      <c r="H93" s="18">
        <f>IF(A93="","",YEAR(A93))</f>
        <v/>
      </c>
      <c r="I93" s="18">
        <f>IF(A93="","",MONTH(A93))</f>
        <v/>
      </c>
    </row>
    <row r="94">
      <c r="A94" s="18" t="n"/>
      <c r="B94" s="18" t="n"/>
      <c r="C94" s="18" t="n"/>
      <c r="D94" s="18" t="n"/>
      <c r="E94" s="20" t="n"/>
      <c r="F94" s="20">
        <f>IF(OR(D94="",E94=""),"",D94*E94)</f>
        <v/>
      </c>
      <c r="G94" s="18" t="n"/>
      <c r="H94" s="18">
        <f>IF(A94="","",YEAR(A94))</f>
        <v/>
      </c>
      <c r="I94" s="18">
        <f>IF(A94="","",MONTH(A94))</f>
        <v/>
      </c>
    </row>
    <row r="95">
      <c r="A95" s="18" t="n"/>
      <c r="B95" s="18" t="n"/>
      <c r="C95" s="18" t="n"/>
      <c r="D95" s="18" t="n"/>
      <c r="E95" s="20" t="n"/>
      <c r="F95" s="20">
        <f>IF(OR(D95="",E95=""),"",D95*E95)</f>
        <v/>
      </c>
      <c r="G95" s="18" t="n"/>
      <c r="H95" s="18">
        <f>IF(A95="","",YEAR(A95))</f>
        <v/>
      </c>
      <c r="I95" s="18">
        <f>IF(A95="","",MONTH(A95))</f>
        <v/>
      </c>
    </row>
    <row r="96">
      <c r="A96" s="18" t="n"/>
      <c r="B96" s="18" t="n"/>
      <c r="C96" s="18" t="n"/>
      <c r="D96" s="18" t="n"/>
      <c r="E96" s="20" t="n"/>
      <c r="F96" s="20">
        <f>IF(OR(D96="",E96=""),"",D96*E96)</f>
        <v/>
      </c>
      <c r="G96" s="18" t="n"/>
      <c r="H96" s="18">
        <f>IF(A96="","",YEAR(A96))</f>
        <v/>
      </c>
      <c r="I96" s="18">
        <f>IF(A96="","",MONTH(A96))</f>
        <v/>
      </c>
    </row>
    <row r="97">
      <c r="A97" s="18" t="n"/>
      <c r="B97" s="18" t="n"/>
      <c r="C97" s="18" t="n"/>
      <c r="D97" s="18" t="n"/>
      <c r="E97" s="20" t="n"/>
      <c r="F97" s="20">
        <f>IF(OR(D97="",E97=""),"",D97*E97)</f>
        <v/>
      </c>
      <c r="G97" s="18" t="n"/>
      <c r="H97" s="18">
        <f>IF(A97="","",YEAR(A97))</f>
        <v/>
      </c>
      <c r="I97" s="18">
        <f>IF(A97="","",MONTH(A97))</f>
        <v/>
      </c>
    </row>
    <row r="98">
      <c r="A98" s="18" t="n"/>
      <c r="B98" s="18" t="n"/>
      <c r="C98" s="18" t="n"/>
      <c r="D98" s="18" t="n"/>
      <c r="E98" s="20" t="n"/>
      <c r="F98" s="20">
        <f>IF(OR(D98="",E98=""),"",D98*E98)</f>
        <v/>
      </c>
      <c r="G98" s="18" t="n"/>
      <c r="H98" s="18">
        <f>IF(A98="","",YEAR(A98))</f>
        <v/>
      </c>
      <c r="I98" s="18">
        <f>IF(A98="","",MONTH(A98))</f>
        <v/>
      </c>
    </row>
    <row r="99">
      <c r="A99" s="18" t="n"/>
      <c r="B99" s="18" t="n"/>
      <c r="C99" s="18" t="n"/>
      <c r="D99" s="18" t="n"/>
      <c r="E99" s="20" t="n"/>
      <c r="F99" s="20">
        <f>IF(OR(D99="",E99=""),"",D99*E99)</f>
        <v/>
      </c>
      <c r="G99" s="18" t="n"/>
      <c r="H99" s="18">
        <f>IF(A99="","",YEAR(A99))</f>
        <v/>
      </c>
      <c r="I99" s="18">
        <f>IF(A99="","",MONTH(A99))</f>
        <v/>
      </c>
    </row>
    <row r="100">
      <c r="A100" s="18" t="n"/>
      <c r="B100" s="18" t="n"/>
      <c r="C100" s="18" t="n"/>
      <c r="D100" s="18" t="n"/>
      <c r="E100" s="20" t="n"/>
      <c r="F100" s="20">
        <f>IF(OR(D100="",E100=""),"",D100*E100)</f>
        <v/>
      </c>
      <c r="G100" s="18" t="n"/>
      <c r="H100" s="18">
        <f>IF(A100="","",YEAR(A100))</f>
        <v/>
      </c>
      <c r="I100" s="18">
        <f>IF(A100="","",MONTH(A100))</f>
        <v/>
      </c>
    </row>
    <row r="101">
      <c r="A101" s="18" t="n"/>
      <c r="B101" s="18" t="n"/>
      <c r="C101" s="18" t="n"/>
      <c r="D101" s="18" t="n"/>
      <c r="E101" s="20" t="n"/>
      <c r="F101" s="20">
        <f>IF(OR(D101="",E101=""),"",D101*E101)</f>
        <v/>
      </c>
      <c r="G101" s="18" t="n"/>
      <c r="H101" s="18">
        <f>IF(A101="","",YEAR(A101))</f>
        <v/>
      </c>
      <c r="I101" s="18">
        <f>IF(A101="","",MONTH(A101))</f>
        <v/>
      </c>
    </row>
    <row r="102">
      <c r="A102" s="18" t="n"/>
      <c r="B102" s="18" t="n"/>
      <c r="C102" s="18" t="n"/>
      <c r="D102" s="18" t="n"/>
      <c r="E102" s="20" t="n"/>
      <c r="F102" s="20">
        <f>IF(OR(D102="",E102=""),"",D102*E102)</f>
        <v/>
      </c>
      <c r="G102" s="18" t="n"/>
      <c r="H102" s="18">
        <f>IF(A102="","",YEAR(A102))</f>
        <v/>
      </c>
      <c r="I102" s="18">
        <f>IF(A102="","",MONTH(A102))</f>
        <v/>
      </c>
    </row>
    <row r="103">
      <c r="A103" s="18" t="n"/>
      <c r="B103" s="18" t="n"/>
      <c r="C103" s="18" t="n"/>
      <c r="D103" s="18" t="n"/>
      <c r="E103" s="20" t="n"/>
      <c r="F103" s="20">
        <f>IF(OR(D103="",E103=""),"",D103*E103)</f>
        <v/>
      </c>
      <c r="G103" s="18" t="n"/>
      <c r="H103" s="18">
        <f>IF(A103="","",YEAR(A103))</f>
        <v/>
      </c>
      <c r="I103" s="18">
        <f>IF(A103="","",MONTH(A103))</f>
        <v/>
      </c>
    </row>
    <row r="104">
      <c r="A104" s="18" t="n"/>
      <c r="B104" s="18" t="n"/>
      <c r="C104" s="18" t="n"/>
      <c r="D104" s="18" t="n"/>
      <c r="E104" s="20" t="n"/>
      <c r="F104" s="20">
        <f>IF(OR(D104="",E104=""),"",D104*E104)</f>
        <v/>
      </c>
      <c r="G104" s="18" t="n"/>
      <c r="H104" s="18">
        <f>IF(A104="","",YEAR(A104))</f>
        <v/>
      </c>
      <c r="I104" s="18">
        <f>IF(A104="","",MONTH(A104))</f>
        <v/>
      </c>
    </row>
    <row r="105">
      <c r="A105" s="18" t="n"/>
      <c r="B105" s="18" t="n"/>
      <c r="C105" s="18" t="n"/>
      <c r="D105" s="18" t="n"/>
      <c r="E105" s="20" t="n"/>
      <c r="F105" s="20">
        <f>IF(OR(D105="",E105=""),"",D105*E105)</f>
        <v/>
      </c>
      <c r="G105" s="18" t="n"/>
      <c r="H105" s="18">
        <f>IF(A105="","",YEAR(A105))</f>
        <v/>
      </c>
      <c r="I105" s="18">
        <f>IF(A105="","",MONTH(A105))</f>
        <v/>
      </c>
    </row>
    <row r="106">
      <c r="A106" s="18" t="n"/>
      <c r="B106" s="18" t="n"/>
      <c r="C106" s="18" t="n"/>
      <c r="D106" s="18" t="n"/>
      <c r="E106" s="20" t="n"/>
      <c r="F106" s="20">
        <f>IF(OR(D106="",E106=""),"",D106*E106)</f>
        <v/>
      </c>
      <c r="G106" s="18" t="n"/>
      <c r="H106" s="18">
        <f>IF(A106="","",YEAR(A106))</f>
        <v/>
      </c>
      <c r="I106" s="18">
        <f>IF(A106="","",MONTH(A106))</f>
        <v/>
      </c>
    </row>
    <row r="107">
      <c r="A107" s="18" t="n"/>
      <c r="B107" s="18" t="n"/>
      <c r="C107" s="18" t="n"/>
      <c r="D107" s="18" t="n"/>
      <c r="E107" s="20" t="n"/>
      <c r="F107" s="20">
        <f>IF(OR(D107="",E107=""),"",D107*E107)</f>
        <v/>
      </c>
      <c r="G107" s="18" t="n"/>
      <c r="H107" s="18">
        <f>IF(A107="","",YEAR(A107))</f>
        <v/>
      </c>
      <c r="I107" s="18">
        <f>IF(A107="","",MONTH(A107))</f>
        <v/>
      </c>
    </row>
    <row r="108">
      <c r="A108" s="18" t="n"/>
      <c r="B108" s="18" t="n"/>
      <c r="C108" s="18" t="n"/>
      <c r="D108" s="18" t="n"/>
      <c r="E108" s="20" t="n"/>
      <c r="F108" s="20">
        <f>IF(OR(D108="",E108=""),"",D108*E108)</f>
        <v/>
      </c>
      <c r="G108" s="18" t="n"/>
      <c r="H108" s="18">
        <f>IF(A108="","",YEAR(A108))</f>
        <v/>
      </c>
      <c r="I108" s="18">
        <f>IF(A108="","",MONTH(A108))</f>
        <v/>
      </c>
    </row>
    <row r="109">
      <c r="A109" s="18" t="n"/>
      <c r="B109" s="18" t="n"/>
      <c r="C109" s="18" t="n"/>
      <c r="D109" s="18" t="n"/>
      <c r="E109" s="20" t="n"/>
      <c r="F109" s="20">
        <f>IF(OR(D109="",E109=""),"",D109*E109)</f>
        <v/>
      </c>
      <c r="G109" s="18" t="n"/>
      <c r="H109" s="18">
        <f>IF(A109="","",YEAR(A109))</f>
        <v/>
      </c>
      <c r="I109" s="18">
        <f>IF(A109="","",MONTH(A109))</f>
        <v/>
      </c>
    </row>
    <row r="110">
      <c r="A110" s="18" t="n"/>
      <c r="B110" s="18" t="n"/>
      <c r="C110" s="18" t="n"/>
      <c r="D110" s="18" t="n"/>
      <c r="E110" s="20" t="n"/>
      <c r="F110" s="20">
        <f>IF(OR(D110="",E110=""),"",D110*E110)</f>
        <v/>
      </c>
      <c r="G110" s="18" t="n"/>
      <c r="H110" s="18">
        <f>IF(A110="","",YEAR(A110))</f>
        <v/>
      </c>
      <c r="I110" s="18">
        <f>IF(A110="","",MONTH(A110))</f>
        <v/>
      </c>
    </row>
    <row r="111">
      <c r="A111" s="18" t="n"/>
      <c r="B111" s="18" t="n"/>
      <c r="C111" s="18" t="n"/>
      <c r="D111" s="18" t="n"/>
      <c r="E111" s="20" t="n"/>
      <c r="F111" s="20">
        <f>IF(OR(D111="",E111=""),"",D111*E111)</f>
        <v/>
      </c>
      <c r="G111" s="18" t="n"/>
      <c r="H111" s="18">
        <f>IF(A111="","",YEAR(A111))</f>
        <v/>
      </c>
      <c r="I111" s="18">
        <f>IF(A111="","",MONTH(A111))</f>
        <v/>
      </c>
    </row>
    <row r="112">
      <c r="A112" s="18" t="n"/>
      <c r="B112" s="18" t="n"/>
      <c r="C112" s="18" t="n"/>
      <c r="D112" s="18" t="n"/>
      <c r="E112" s="20" t="n"/>
      <c r="F112" s="20">
        <f>IF(OR(D112="",E112=""),"",D112*E112)</f>
        <v/>
      </c>
      <c r="G112" s="18" t="n"/>
      <c r="H112" s="18">
        <f>IF(A112="","",YEAR(A112))</f>
        <v/>
      </c>
      <c r="I112" s="18">
        <f>IF(A112="","",MONTH(A112))</f>
        <v/>
      </c>
    </row>
    <row r="113">
      <c r="A113" s="18" t="n"/>
      <c r="B113" s="18" t="n"/>
      <c r="C113" s="18" t="n"/>
      <c r="D113" s="18" t="n"/>
      <c r="E113" s="20" t="n"/>
      <c r="F113" s="20">
        <f>IF(OR(D113="",E113=""),"",D113*E113)</f>
        <v/>
      </c>
      <c r="G113" s="18" t="n"/>
      <c r="H113" s="18">
        <f>IF(A113="","",YEAR(A113))</f>
        <v/>
      </c>
      <c r="I113" s="18">
        <f>IF(A113="","",MONTH(A113))</f>
        <v/>
      </c>
    </row>
    <row r="114">
      <c r="A114" s="18" t="n"/>
      <c r="B114" s="18" t="n"/>
      <c r="C114" s="18" t="n"/>
      <c r="D114" s="18" t="n"/>
      <c r="E114" s="20" t="n"/>
      <c r="F114" s="20">
        <f>IF(OR(D114="",E114=""),"",D114*E114)</f>
        <v/>
      </c>
      <c r="G114" s="18" t="n"/>
      <c r="H114" s="18">
        <f>IF(A114="","",YEAR(A114))</f>
        <v/>
      </c>
      <c r="I114" s="18">
        <f>IF(A114="","",MONTH(A114))</f>
        <v/>
      </c>
    </row>
    <row r="115">
      <c r="A115" s="18" t="n"/>
      <c r="B115" s="18" t="n"/>
      <c r="C115" s="18" t="n"/>
      <c r="D115" s="18" t="n"/>
      <c r="E115" s="20" t="n"/>
      <c r="F115" s="20">
        <f>IF(OR(D115="",E115=""),"",D115*E115)</f>
        <v/>
      </c>
      <c r="G115" s="18" t="n"/>
      <c r="H115" s="18">
        <f>IF(A115="","",YEAR(A115))</f>
        <v/>
      </c>
      <c r="I115" s="18">
        <f>IF(A115="","",MONTH(A115))</f>
        <v/>
      </c>
    </row>
    <row r="116">
      <c r="A116" s="18" t="n"/>
      <c r="B116" s="18" t="n"/>
      <c r="C116" s="18" t="n"/>
      <c r="D116" s="18" t="n"/>
      <c r="E116" s="20" t="n"/>
      <c r="F116" s="20">
        <f>IF(OR(D116="",E116=""),"",D116*E116)</f>
        <v/>
      </c>
      <c r="G116" s="18" t="n"/>
      <c r="H116" s="18">
        <f>IF(A116="","",YEAR(A116))</f>
        <v/>
      </c>
      <c r="I116" s="18">
        <f>IF(A116="","",MONTH(A116))</f>
        <v/>
      </c>
    </row>
    <row r="117">
      <c r="A117" s="18" t="n"/>
      <c r="B117" s="18" t="n"/>
      <c r="C117" s="18" t="n"/>
      <c r="D117" s="18" t="n"/>
      <c r="E117" s="20" t="n"/>
      <c r="F117" s="20">
        <f>IF(OR(D117="",E117=""),"",D117*E117)</f>
        <v/>
      </c>
      <c r="G117" s="18" t="n"/>
      <c r="H117" s="18">
        <f>IF(A117="","",YEAR(A117))</f>
        <v/>
      </c>
      <c r="I117" s="18">
        <f>IF(A117="","",MONTH(A117))</f>
        <v/>
      </c>
    </row>
    <row r="118">
      <c r="A118" s="18" t="n"/>
      <c r="B118" s="18" t="n"/>
      <c r="C118" s="18" t="n"/>
      <c r="D118" s="18" t="n"/>
      <c r="E118" s="20" t="n"/>
      <c r="F118" s="20">
        <f>IF(OR(D118="",E118=""),"",D118*E118)</f>
        <v/>
      </c>
      <c r="G118" s="18" t="n"/>
      <c r="H118" s="18">
        <f>IF(A118="","",YEAR(A118))</f>
        <v/>
      </c>
      <c r="I118" s="18">
        <f>IF(A118="","",MONTH(A118))</f>
        <v/>
      </c>
    </row>
    <row r="119">
      <c r="A119" s="18" t="n"/>
      <c r="B119" s="18" t="n"/>
      <c r="C119" s="18" t="n"/>
      <c r="D119" s="18" t="n"/>
      <c r="E119" s="20" t="n"/>
      <c r="F119" s="20">
        <f>IF(OR(D119="",E119=""),"",D119*E119)</f>
        <v/>
      </c>
      <c r="G119" s="18" t="n"/>
      <c r="H119" s="18">
        <f>IF(A119="","",YEAR(A119))</f>
        <v/>
      </c>
      <c r="I119" s="18">
        <f>IF(A119="","",MONTH(A119))</f>
        <v/>
      </c>
    </row>
    <row r="120">
      <c r="A120" s="18" t="n"/>
      <c r="B120" s="18" t="n"/>
      <c r="C120" s="18" t="n"/>
      <c r="D120" s="18" t="n"/>
      <c r="E120" s="20" t="n"/>
      <c r="F120" s="20">
        <f>IF(OR(D120="",E120=""),"",D120*E120)</f>
        <v/>
      </c>
      <c r="G120" s="18" t="n"/>
      <c r="H120" s="18">
        <f>IF(A120="","",YEAR(A120))</f>
        <v/>
      </c>
      <c r="I120" s="18">
        <f>IF(A120="","",MONTH(A120))</f>
        <v/>
      </c>
    </row>
    <row r="121">
      <c r="A121" s="18" t="n"/>
      <c r="B121" s="18" t="n"/>
      <c r="C121" s="18" t="n"/>
      <c r="D121" s="18" t="n"/>
      <c r="E121" s="20" t="n"/>
      <c r="F121" s="20">
        <f>IF(OR(D121="",E121=""),"",D121*E121)</f>
        <v/>
      </c>
      <c r="G121" s="18" t="n"/>
      <c r="H121" s="18">
        <f>IF(A121="","",YEAR(A121))</f>
        <v/>
      </c>
      <c r="I121" s="18">
        <f>IF(A121="","",MONTH(A121))</f>
        <v/>
      </c>
    </row>
    <row r="122">
      <c r="A122" s="18" t="n"/>
      <c r="B122" s="18" t="n"/>
      <c r="C122" s="18" t="n"/>
      <c r="D122" s="18" t="n"/>
      <c r="E122" s="20" t="n"/>
      <c r="F122" s="20">
        <f>IF(OR(D122="",E122=""),"",D122*E122)</f>
        <v/>
      </c>
      <c r="G122" s="18" t="n"/>
      <c r="H122" s="18">
        <f>IF(A122="","",YEAR(A122))</f>
        <v/>
      </c>
      <c r="I122" s="18">
        <f>IF(A122="","",MONTH(A122))</f>
        <v/>
      </c>
    </row>
    <row r="123">
      <c r="A123" s="18" t="n"/>
      <c r="B123" s="18" t="n"/>
      <c r="C123" s="18" t="n"/>
      <c r="D123" s="18" t="n"/>
      <c r="E123" s="20" t="n"/>
      <c r="F123" s="20">
        <f>IF(OR(D123="",E123=""),"",D123*E123)</f>
        <v/>
      </c>
      <c r="G123" s="18" t="n"/>
      <c r="H123" s="18">
        <f>IF(A123="","",YEAR(A123))</f>
        <v/>
      </c>
      <c r="I123" s="18">
        <f>IF(A123="","",MONTH(A123))</f>
        <v/>
      </c>
    </row>
    <row r="124">
      <c r="A124" s="18" t="n"/>
      <c r="B124" s="18" t="n"/>
      <c r="C124" s="18" t="n"/>
      <c r="D124" s="18" t="n"/>
      <c r="E124" s="20" t="n"/>
      <c r="F124" s="20">
        <f>IF(OR(D124="",E124=""),"",D124*E124)</f>
        <v/>
      </c>
      <c r="G124" s="18" t="n"/>
      <c r="H124" s="18">
        <f>IF(A124="","",YEAR(A124))</f>
        <v/>
      </c>
      <c r="I124" s="18">
        <f>IF(A124="","",MONTH(A124))</f>
        <v/>
      </c>
    </row>
    <row r="125">
      <c r="A125" s="18" t="n"/>
      <c r="B125" s="18" t="n"/>
      <c r="C125" s="18" t="n"/>
      <c r="D125" s="18" t="n"/>
      <c r="E125" s="20" t="n"/>
      <c r="F125" s="20">
        <f>IF(OR(D125="",E125=""),"",D125*E125)</f>
        <v/>
      </c>
      <c r="G125" s="18" t="n"/>
      <c r="H125" s="18">
        <f>IF(A125="","",YEAR(A125))</f>
        <v/>
      </c>
      <c r="I125" s="18">
        <f>IF(A125="","",MONTH(A125))</f>
        <v/>
      </c>
    </row>
    <row r="126">
      <c r="A126" s="18" t="n"/>
      <c r="B126" s="18" t="n"/>
      <c r="C126" s="18" t="n"/>
      <c r="D126" s="18" t="n"/>
      <c r="E126" s="20" t="n"/>
      <c r="F126" s="20">
        <f>IF(OR(D126="",E126=""),"",D126*E126)</f>
        <v/>
      </c>
      <c r="G126" s="18" t="n"/>
      <c r="H126" s="18">
        <f>IF(A126="","",YEAR(A126))</f>
        <v/>
      </c>
      <c r="I126" s="18">
        <f>IF(A126="","",MONTH(A126))</f>
        <v/>
      </c>
    </row>
    <row r="127">
      <c r="A127" s="18" t="n"/>
      <c r="B127" s="18" t="n"/>
      <c r="C127" s="18" t="n"/>
      <c r="D127" s="18" t="n"/>
      <c r="E127" s="20" t="n"/>
      <c r="F127" s="20">
        <f>IF(OR(D127="",E127=""),"",D127*E127)</f>
        <v/>
      </c>
      <c r="G127" s="18" t="n"/>
      <c r="H127" s="18">
        <f>IF(A127="","",YEAR(A127))</f>
        <v/>
      </c>
      <c r="I127" s="18">
        <f>IF(A127="","",MONTH(A127))</f>
        <v/>
      </c>
    </row>
    <row r="128">
      <c r="A128" s="18" t="n"/>
      <c r="B128" s="18" t="n"/>
      <c r="C128" s="18" t="n"/>
      <c r="D128" s="18" t="n"/>
      <c r="E128" s="20" t="n"/>
      <c r="F128" s="20">
        <f>IF(OR(D128="",E128=""),"",D128*E128)</f>
        <v/>
      </c>
      <c r="G128" s="18" t="n"/>
      <c r="H128" s="18">
        <f>IF(A128="","",YEAR(A128))</f>
        <v/>
      </c>
      <c r="I128" s="18">
        <f>IF(A128="","",MONTH(A128))</f>
        <v/>
      </c>
    </row>
    <row r="129">
      <c r="A129" s="18" t="n"/>
      <c r="B129" s="18" t="n"/>
      <c r="C129" s="18" t="n"/>
      <c r="D129" s="18" t="n"/>
      <c r="E129" s="20" t="n"/>
      <c r="F129" s="20">
        <f>IF(OR(D129="",E129=""),"",D129*E129)</f>
        <v/>
      </c>
      <c r="G129" s="18" t="n"/>
      <c r="H129" s="18">
        <f>IF(A129="","",YEAR(A129))</f>
        <v/>
      </c>
      <c r="I129" s="18">
        <f>IF(A129="","",MONTH(A129))</f>
        <v/>
      </c>
    </row>
    <row r="130">
      <c r="A130" s="18" t="n"/>
      <c r="B130" s="18" t="n"/>
      <c r="C130" s="18" t="n"/>
      <c r="D130" s="18" t="n"/>
      <c r="E130" s="20" t="n"/>
      <c r="F130" s="20">
        <f>IF(OR(D130="",E130=""),"",D130*E130)</f>
        <v/>
      </c>
      <c r="G130" s="18" t="n"/>
      <c r="H130" s="18">
        <f>IF(A130="","",YEAR(A130))</f>
        <v/>
      </c>
      <c r="I130" s="18">
        <f>IF(A130="","",MONTH(A130))</f>
        <v/>
      </c>
    </row>
    <row r="131">
      <c r="A131" s="18" t="n"/>
      <c r="B131" s="18" t="n"/>
      <c r="C131" s="18" t="n"/>
      <c r="D131" s="18" t="n"/>
      <c r="E131" s="20" t="n"/>
      <c r="F131" s="20">
        <f>IF(OR(D131="",E131=""),"",D131*E131)</f>
        <v/>
      </c>
      <c r="G131" s="18" t="n"/>
      <c r="H131" s="18">
        <f>IF(A131="","",YEAR(A131))</f>
        <v/>
      </c>
      <c r="I131" s="18">
        <f>IF(A131="","",MONTH(A131))</f>
        <v/>
      </c>
    </row>
    <row r="132">
      <c r="A132" s="18" t="n"/>
      <c r="B132" s="18" t="n"/>
      <c r="C132" s="18" t="n"/>
      <c r="D132" s="18" t="n"/>
      <c r="E132" s="20" t="n"/>
      <c r="F132" s="20">
        <f>IF(OR(D132="",E132=""),"",D132*E132)</f>
        <v/>
      </c>
      <c r="G132" s="18" t="n"/>
      <c r="H132" s="18">
        <f>IF(A132="","",YEAR(A132))</f>
        <v/>
      </c>
      <c r="I132" s="18">
        <f>IF(A132="","",MONTH(A132))</f>
        <v/>
      </c>
    </row>
    <row r="133">
      <c r="A133" s="18" t="n"/>
      <c r="B133" s="18" t="n"/>
      <c r="C133" s="18" t="n"/>
      <c r="D133" s="18" t="n"/>
      <c r="E133" s="20" t="n"/>
      <c r="F133" s="20">
        <f>IF(OR(D133="",E133=""),"",D133*E133)</f>
        <v/>
      </c>
      <c r="G133" s="18" t="n"/>
      <c r="H133" s="18">
        <f>IF(A133="","",YEAR(A133))</f>
        <v/>
      </c>
      <c r="I133" s="18">
        <f>IF(A133="","",MONTH(A133))</f>
        <v/>
      </c>
    </row>
    <row r="134">
      <c r="A134" s="18" t="n"/>
      <c r="B134" s="18" t="n"/>
      <c r="C134" s="18" t="n"/>
      <c r="D134" s="18" t="n"/>
      <c r="E134" s="20" t="n"/>
      <c r="F134" s="20">
        <f>IF(OR(D134="",E134=""),"",D134*E134)</f>
        <v/>
      </c>
      <c r="G134" s="18" t="n"/>
      <c r="H134" s="18">
        <f>IF(A134="","",YEAR(A134))</f>
        <v/>
      </c>
      <c r="I134" s="18">
        <f>IF(A134="","",MONTH(A134))</f>
        <v/>
      </c>
    </row>
    <row r="135">
      <c r="A135" s="18" t="n"/>
      <c r="B135" s="18" t="n"/>
      <c r="C135" s="18" t="n"/>
      <c r="D135" s="18" t="n"/>
      <c r="E135" s="20" t="n"/>
      <c r="F135" s="20">
        <f>IF(OR(D135="",E135=""),"",D135*E135)</f>
        <v/>
      </c>
      <c r="G135" s="18" t="n"/>
      <c r="H135" s="18">
        <f>IF(A135="","",YEAR(A135))</f>
        <v/>
      </c>
      <c r="I135" s="18">
        <f>IF(A135="","",MONTH(A135))</f>
        <v/>
      </c>
    </row>
    <row r="136">
      <c r="A136" s="18" t="n"/>
      <c r="B136" s="18" t="n"/>
      <c r="C136" s="18" t="n"/>
      <c r="D136" s="18" t="n"/>
      <c r="E136" s="20" t="n"/>
      <c r="F136" s="20">
        <f>IF(OR(D136="",E136=""),"",D136*E136)</f>
        <v/>
      </c>
      <c r="G136" s="18" t="n"/>
      <c r="H136" s="18">
        <f>IF(A136="","",YEAR(A136))</f>
        <v/>
      </c>
      <c r="I136" s="18">
        <f>IF(A136="","",MONTH(A136))</f>
        <v/>
      </c>
    </row>
    <row r="137">
      <c r="A137" s="18" t="n"/>
      <c r="B137" s="18" t="n"/>
      <c r="C137" s="18" t="n"/>
      <c r="D137" s="18" t="n"/>
      <c r="E137" s="20" t="n"/>
      <c r="F137" s="20">
        <f>IF(OR(D137="",E137=""),"",D137*E137)</f>
        <v/>
      </c>
      <c r="G137" s="18" t="n"/>
      <c r="H137" s="18">
        <f>IF(A137="","",YEAR(A137))</f>
        <v/>
      </c>
      <c r="I137" s="18">
        <f>IF(A137="","",MONTH(A137))</f>
        <v/>
      </c>
    </row>
    <row r="138">
      <c r="A138" s="18" t="n"/>
      <c r="B138" s="18" t="n"/>
      <c r="C138" s="18" t="n"/>
      <c r="D138" s="18" t="n"/>
      <c r="E138" s="20" t="n"/>
      <c r="F138" s="20">
        <f>IF(OR(D138="",E138=""),"",D138*E138)</f>
        <v/>
      </c>
      <c r="G138" s="18" t="n"/>
      <c r="H138" s="18">
        <f>IF(A138="","",YEAR(A138))</f>
        <v/>
      </c>
      <c r="I138" s="18">
        <f>IF(A138="","",MONTH(A138))</f>
        <v/>
      </c>
    </row>
    <row r="139">
      <c r="A139" s="18" t="n"/>
      <c r="B139" s="18" t="n"/>
      <c r="C139" s="18" t="n"/>
      <c r="D139" s="18" t="n"/>
      <c r="E139" s="20" t="n"/>
      <c r="F139" s="20">
        <f>IF(OR(D139="",E139=""),"",D139*E139)</f>
        <v/>
      </c>
      <c r="G139" s="18" t="n"/>
      <c r="H139" s="18">
        <f>IF(A139="","",YEAR(A139))</f>
        <v/>
      </c>
      <c r="I139" s="18">
        <f>IF(A139="","",MONTH(A139))</f>
        <v/>
      </c>
    </row>
    <row r="140">
      <c r="A140" s="18" t="n"/>
      <c r="B140" s="18" t="n"/>
      <c r="C140" s="18" t="n"/>
      <c r="D140" s="18" t="n"/>
      <c r="E140" s="20" t="n"/>
      <c r="F140" s="20">
        <f>IF(OR(D140="",E140=""),"",D140*E140)</f>
        <v/>
      </c>
      <c r="G140" s="18" t="n"/>
      <c r="H140" s="18">
        <f>IF(A140="","",YEAR(A140))</f>
        <v/>
      </c>
      <c r="I140" s="18">
        <f>IF(A140="","",MONTH(A140))</f>
        <v/>
      </c>
    </row>
    <row r="141">
      <c r="A141" s="18" t="n"/>
      <c r="B141" s="18" t="n"/>
      <c r="C141" s="18" t="n"/>
      <c r="D141" s="18" t="n"/>
      <c r="E141" s="20" t="n"/>
      <c r="F141" s="20">
        <f>IF(OR(D141="",E141=""),"",D141*E141)</f>
        <v/>
      </c>
      <c r="G141" s="18" t="n"/>
      <c r="H141" s="18">
        <f>IF(A141="","",YEAR(A141))</f>
        <v/>
      </c>
      <c r="I141" s="18">
        <f>IF(A141="","",MONTH(A141))</f>
        <v/>
      </c>
    </row>
    <row r="142">
      <c r="A142" s="18" t="n"/>
      <c r="B142" s="18" t="n"/>
      <c r="C142" s="18" t="n"/>
      <c r="D142" s="18" t="n"/>
      <c r="E142" s="20" t="n"/>
      <c r="F142" s="20">
        <f>IF(OR(D142="",E142=""),"",D142*E142)</f>
        <v/>
      </c>
      <c r="G142" s="18" t="n"/>
      <c r="H142" s="18">
        <f>IF(A142="","",YEAR(A142))</f>
        <v/>
      </c>
      <c r="I142" s="18">
        <f>IF(A142="","",MONTH(A142))</f>
        <v/>
      </c>
    </row>
    <row r="143">
      <c r="A143" s="18" t="n"/>
      <c r="B143" s="18" t="n"/>
      <c r="C143" s="18" t="n"/>
      <c r="D143" s="18" t="n"/>
      <c r="E143" s="20" t="n"/>
      <c r="F143" s="20">
        <f>IF(OR(D143="",E143=""),"",D143*E143)</f>
        <v/>
      </c>
      <c r="G143" s="18" t="n"/>
      <c r="H143" s="18">
        <f>IF(A143="","",YEAR(A143))</f>
        <v/>
      </c>
      <c r="I143" s="18">
        <f>IF(A143="","",MONTH(A143))</f>
        <v/>
      </c>
    </row>
    <row r="144">
      <c r="A144" s="18" t="n"/>
      <c r="B144" s="18" t="n"/>
      <c r="C144" s="18" t="n"/>
      <c r="D144" s="18" t="n"/>
      <c r="E144" s="20" t="n"/>
      <c r="F144" s="20">
        <f>IF(OR(D144="",E144=""),"",D144*E144)</f>
        <v/>
      </c>
      <c r="G144" s="18" t="n"/>
      <c r="H144" s="18">
        <f>IF(A144="","",YEAR(A144))</f>
        <v/>
      </c>
      <c r="I144" s="18">
        <f>IF(A144="","",MONTH(A144))</f>
        <v/>
      </c>
    </row>
    <row r="145">
      <c r="A145" s="18" t="n"/>
      <c r="B145" s="18" t="n"/>
      <c r="C145" s="18" t="n"/>
      <c r="D145" s="18" t="n"/>
      <c r="E145" s="20" t="n"/>
      <c r="F145" s="20">
        <f>IF(OR(D145="",E145=""),"",D145*E145)</f>
        <v/>
      </c>
      <c r="G145" s="18" t="n"/>
      <c r="H145" s="18">
        <f>IF(A145="","",YEAR(A145))</f>
        <v/>
      </c>
      <c r="I145" s="18">
        <f>IF(A145="","",MONTH(A145))</f>
        <v/>
      </c>
    </row>
    <row r="146">
      <c r="A146" s="18" t="n"/>
      <c r="B146" s="18" t="n"/>
      <c r="C146" s="18" t="n"/>
      <c r="D146" s="18" t="n"/>
      <c r="E146" s="20" t="n"/>
      <c r="F146" s="20">
        <f>IF(OR(D146="",E146=""),"",D146*E146)</f>
        <v/>
      </c>
      <c r="G146" s="18" t="n"/>
      <c r="H146" s="18">
        <f>IF(A146="","",YEAR(A146))</f>
        <v/>
      </c>
      <c r="I146" s="18">
        <f>IF(A146="","",MONTH(A146))</f>
        <v/>
      </c>
    </row>
    <row r="147">
      <c r="A147" s="18" t="n"/>
      <c r="B147" s="18" t="n"/>
      <c r="C147" s="18" t="n"/>
      <c r="D147" s="18" t="n"/>
      <c r="E147" s="20" t="n"/>
      <c r="F147" s="20">
        <f>IF(OR(D147="",E147=""),"",D147*E147)</f>
        <v/>
      </c>
      <c r="G147" s="18" t="n"/>
      <c r="H147" s="18">
        <f>IF(A147="","",YEAR(A147))</f>
        <v/>
      </c>
      <c r="I147" s="18">
        <f>IF(A147="","",MONTH(A147))</f>
        <v/>
      </c>
    </row>
    <row r="148">
      <c r="A148" s="18" t="n"/>
      <c r="B148" s="18" t="n"/>
      <c r="C148" s="18" t="n"/>
      <c r="D148" s="18" t="n"/>
      <c r="E148" s="20" t="n"/>
      <c r="F148" s="20">
        <f>IF(OR(D148="",E148=""),"",D148*E148)</f>
        <v/>
      </c>
      <c r="G148" s="18" t="n"/>
      <c r="H148" s="18">
        <f>IF(A148="","",YEAR(A148))</f>
        <v/>
      </c>
      <c r="I148" s="18">
        <f>IF(A148="","",MONTH(A148))</f>
        <v/>
      </c>
    </row>
    <row r="149">
      <c r="A149" s="18" t="n"/>
      <c r="B149" s="18" t="n"/>
      <c r="C149" s="18" t="n"/>
      <c r="D149" s="18" t="n"/>
      <c r="E149" s="20" t="n"/>
      <c r="F149" s="20">
        <f>IF(OR(D149="",E149=""),"",D149*E149)</f>
        <v/>
      </c>
      <c r="G149" s="18" t="n"/>
      <c r="H149" s="18">
        <f>IF(A149="","",YEAR(A149))</f>
        <v/>
      </c>
      <c r="I149" s="18">
        <f>IF(A149="","",MONTH(A149))</f>
        <v/>
      </c>
    </row>
    <row r="150">
      <c r="A150" s="18" t="n"/>
      <c r="B150" s="18" t="n"/>
      <c r="C150" s="18" t="n"/>
      <c r="D150" s="18" t="n"/>
      <c r="E150" s="20" t="n"/>
      <c r="F150" s="20">
        <f>IF(OR(D150="",E150=""),"",D150*E150)</f>
        <v/>
      </c>
      <c r="G150" s="18" t="n"/>
      <c r="H150" s="18">
        <f>IF(A150="","",YEAR(A150))</f>
        <v/>
      </c>
      <c r="I150" s="18">
        <f>IF(A150="","",MONTH(A150))</f>
        <v/>
      </c>
    </row>
    <row r="151">
      <c r="A151" s="18" t="n"/>
      <c r="B151" s="18" t="n"/>
      <c r="C151" s="18" t="n"/>
      <c r="D151" s="18" t="n"/>
      <c r="E151" s="20" t="n"/>
      <c r="F151" s="20">
        <f>IF(OR(D151="",E151=""),"",D151*E151)</f>
        <v/>
      </c>
      <c r="G151" s="18" t="n"/>
      <c r="H151" s="18">
        <f>IF(A151="","",YEAR(A151))</f>
        <v/>
      </c>
      <c r="I151" s="18">
        <f>IF(A151="","",MONTH(A151))</f>
        <v/>
      </c>
    </row>
    <row r="152">
      <c r="A152" s="18" t="n"/>
      <c r="B152" s="18" t="n"/>
      <c r="C152" s="18" t="n"/>
      <c r="D152" s="18" t="n"/>
      <c r="E152" s="20" t="n"/>
      <c r="F152" s="20">
        <f>IF(OR(D152="",E152=""),"",D152*E152)</f>
        <v/>
      </c>
      <c r="G152" s="18" t="n"/>
      <c r="H152" s="18">
        <f>IF(A152="","",YEAR(A152))</f>
        <v/>
      </c>
      <c r="I152" s="18">
        <f>IF(A152="","",MONTH(A152))</f>
        <v/>
      </c>
    </row>
    <row r="153">
      <c r="A153" s="18" t="n"/>
      <c r="B153" s="18" t="n"/>
      <c r="C153" s="18" t="n"/>
      <c r="D153" s="18" t="n"/>
      <c r="E153" s="20" t="n"/>
      <c r="F153" s="20">
        <f>IF(OR(D153="",E153=""),"",D153*E153)</f>
        <v/>
      </c>
      <c r="G153" s="18" t="n"/>
      <c r="H153" s="18">
        <f>IF(A153="","",YEAR(A153))</f>
        <v/>
      </c>
      <c r="I153" s="18">
        <f>IF(A153="","",MONTH(A153))</f>
        <v/>
      </c>
    </row>
    <row r="154">
      <c r="A154" s="18" t="n"/>
      <c r="B154" s="18" t="n"/>
      <c r="C154" s="18" t="n"/>
      <c r="D154" s="18" t="n"/>
      <c r="E154" s="20" t="n"/>
      <c r="F154" s="20">
        <f>IF(OR(D154="",E154=""),"",D154*E154)</f>
        <v/>
      </c>
      <c r="G154" s="18" t="n"/>
      <c r="H154" s="18">
        <f>IF(A154="","",YEAR(A154))</f>
        <v/>
      </c>
      <c r="I154" s="18">
        <f>IF(A154="","",MONTH(A154))</f>
        <v/>
      </c>
    </row>
    <row r="155">
      <c r="A155" s="18" t="n"/>
      <c r="B155" s="18" t="n"/>
      <c r="C155" s="18" t="n"/>
      <c r="D155" s="18" t="n"/>
      <c r="E155" s="20" t="n"/>
      <c r="F155" s="20">
        <f>IF(OR(D155="",E155=""),"",D155*E155)</f>
        <v/>
      </c>
      <c r="G155" s="18" t="n"/>
      <c r="H155" s="18">
        <f>IF(A155="","",YEAR(A155))</f>
        <v/>
      </c>
      <c r="I155" s="18">
        <f>IF(A155="","",MONTH(A155))</f>
        <v/>
      </c>
    </row>
    <row r="156">
      <c r="A156" s="18" t="n"/>
      <c r="B156" s="18" t="n"/>
      <c r="C156" s="18" t="n"/>
      <c r="D156" s="18" t="n"/>
      <c r="E156" s="20" t="n"/>
      <c r="F156" s="20">
        <f>IF(OR(D156="",E156=""),"",D156*E156)</f>
        <v/>
      </c>
      <c r="G156" s="18" t="n"/>
      <c r="H156" s="18">
        <f>IF(A156="","",YEAR(A156))</f>
        <v/>
      </c>
      <c r="I156" s="18">
        <f>IF(A156="","",MONTH(A156))</f>
        <v/>
      </c>
    </row>
    <row r="157">
      <c r="A157" s="18" t="n"/>
      <c r="B157" s="18" t="n"/>
      <c r="C157" s="18" t="n"/>
      <c r="D157" s="18" t="n"/>
      <c r="E157" s="20" t="n"/>
      <c r="F157" s="20">
        <f>IF(OR(D157="",E157=""),"",D157*E157)</f>
        <v/>
      </c>
      <c r="G157" s="18" t="n"/>
      <c r="H157" s="18">
        <f>IF(A157="","",YEAR(A157))</f>
        <v/>
      </c>
      <c r="I157" s="18">
        <f>IF(A157="","",MONTH(A157))</f>
        <v/>
      </c>
    </row>
    <row r="158">
      <c r="A158" s="18" t="n"/>
      <c r="B158" s="18" t="n"/>
      <c r="C158" s="18" t="n"/>
      <c r="D158" s="18" t="n"/>
      <c r="E158" s="20" t="n"/>
      <c r="F158" s="20">
        <f>IF(OR(D158="",E158=""),"",D158*E158)</f>
        <v/>
      </c>
      <c r="G158" s="18" t="n"/>
      <c r="H158" s="18">
        <f>IF(A158="","",YEAR(A158))</f>
        <v/>
      </c>
      <c r="I158" s="18">
        <f>IF(A158="","",MONTH(A158))</f>
        <v/>
      </c>
    </row>
    <row r="159">
      <c r="A159" s="18" t="n"/>
      <c r="B159" s="18" t="n"/>
      <c r="C159" s="18" t="n"/>
      <c r="D159" s="18" t="n"/>
      <c r="E159" s="20" t="n"/>
      <c r="F159" s="20">
        <f>IF(OR(D159="",E159=""),"",D159*E159)</f>
        <v/>
      </c>
      <c r="G159" s="18" t="n"/>
      <c r="H159" s="18">
        <f>IF(A159="","",YEAR(A159))</f>
        <v/>
      </c>
      <c r="I159" s="18">
        <f>IF(A159="","",MONTH(A159))</f>
        <v/>
      </c>
    </row>
    <row r="160">
      <c r="A160" s="18" t="n"/>
      <c r="B160" s="18" t="n"/>
      <c r="C160" s="18" t="n"/>
      <c r="D160" s="18" t="n"/>
      <c r="E160" s="20" t="n"/>
      <c r="F160" s="20">
        <f>IF(OR(D160="",E160=""),"",D160*E160)</f>
        <v/>
      </c>
      <c r="G160" s="18" t="n"/>
      <c r="H160" s="18">
        <f>IF(A160="","",YEAR(A160))</f>
        <v/>
      </c>
      <c r="I160" s="18">
        <f>IF(A160="","",MONTH(A160))</f>
        <v/>
      </c>
    </row>
    <row r="161">
      <c r="A161" s="18" t="n"/>
      <c r="B161" s="18" t="n"/>
      <c r="C161" s="18" t="n"/>
      <c r="D161" s="18" t="n"/>
      <c r="E161" s="20" t="n"/>
      <c r="F161" s="20">
        <f>IF(OR(D161="",E161=""),"",D161*E161)</f>
        <v/>
      </c>
      <c r="G161" s="18" t="n"/>
      <c r="H161" s="18">
        <f>IF(A161="","",YEAR(A161))</f>
        <v/>
      </c>
      <c r="I161" s="18">
        <f>IF(A161="","",MONTH(A161))</f>
        <v/>
      </c>
    </row>
    <row r="162">
      <c r="A162" s="18" t="n"/>
      <c r="B162" s="18" t="n"/>
      <c r="C162" s="18" t="n"/>
      <c r="D162" s="18" t="n"/>
      <c r="E162" s="20" t="n"/>
      <c r="F162" s="20">
        <f>IF(OR(D162="",E162=""),"",D162*E162)</f>
        <v/>
      </c>
      <c r="G162" s="18" t="n"/>
      <c r="H162" s="18">
        <f>IF(A162="","",YEAR(A162))</f>
        <v/>
      </c>
      <c r="I162" s="18">
        <f>IF(A162="","",MONTH(A162))</f>
        <v/>
      </c>
    </row>
    <row r="163">
      <c r="A163" s="18" t="n"/>
      <c r="B163" s="18" t="n"/>
      <c r="C163" s="18" t="n"/>
      <c r="D163" s="18" t="n"/>
      <c r="E163" s="20" t="n"/>
      <c r="F163" s="20">
        <f>IF(OR(D163="",E163=""),"",D163*E163)</f>
        <v/>
      </c>
      <c r="G163" s="18" t="n"/>
      <c r="H163" s="18">
        <f>IF(A163="","",YEAR(A163))</f>
        <v/>
      </c>
      <c r="I163" s="18">
        <f>IF(A163="","",MONTH(A163))</f>
        <v/>
      </c>
    </row>
    <row r="164">
      <c r="A164" s="18" t="n"/>
      <c r="B164" s="18" t="n"/>
      <c r="C164" s="18" t="n"/>
      <c r="D164" s="18" t="n"/>
      <c r="E164" s="20" t="n"/>
      <c r="F164" s="20">
        <f>IF(OR(D164="",E164=""),"",D164*E164)</f>
        <v/>
      </c>
      <c r="G164" s="18" t="n"/>
      <c r="H164" s="18">
        <f>IF(A164="","",YEAR(A164))</f>
        <v/>
      </c>
      <c r="I164" s="18">
        <f>IF(A164="","",MONTH(A164))</f>
        <v/>
      </c>
    </row>
    <row r="165">
      <c r="A165" s="18" t="n"/>
      <c r="B165" s="18" t="n"/>
      <c r="C165" s="18" t="n"/>
      <c r="D165" s="18" t="n"/>
      <c r="E165" s="20" t="n"/>
      <c r="F165" s="20">
        <f>IF(OR(D165="",E165=""),"",D165*E165)</f>
        <v/>
      </c>
      <c r="G165" s="18" t="n"/>
      <c r="H165" s="18">
        <f>IF(A165="","",YEAR(A165))</f>
        <v/>
      </c>
      <c r="I165" s="18">
        <f>IF(A165="","",MONTH(A165))</f>
        <v/>
      </c>
    </row>
    <row r="166">
      <c r="A166" s="18" t="n"/>
      <c r="B166" s="18" t="n"/>
      <c r="C166" s="18" t="n"/>
      <c r="D166" s="18" t="n"/>
      <c r="E166" s="20" t="n"/>
      <c r="F166" s="20">
        <f>IF(OR(D166="",E166=""),"",D166*E166)</f>
        <v/>
      </c>
      <c r="G166" s="18" t="n"/>
      <c r="H166" s="18">
        <f>IF(A166="","",YEAR(A166))</f>
        <v/>
      </c>
      <c r="I166" s="18">
        <f>IF(A166="","",MONTH(A166))</f>
        <v/>
      </c>
    </row>
    <row r="167">
      <c r="A167" s="18" t="n"/>
      <c r="B167" s="18" t="n"/>
      <c r="C167" s="18" t="n"/>
      <c r="D167" s="18" t="n"/>
      <c r="E167" s="20" t="n"/>
      <c r="F167" s="20">
        <f>IF(OR(D167="",E167=""),"",D167*E167)</f>
        <v/>
      </c>
      <c r="G167" s="18" t="n"/>
      <c r="H167" s="18">
        <f>IF(A167="","",YEAR(A167))</f>
        <v/>
      </c>
      <c r="I167" s="18">
        <f>IF(A167="","",MONTH(A167))</f>
        <v/>
      </c>
    </row>
    <row r="168">
      <c r="A168" s="18" t="n"/>
      <c r="B168" s="18" t="n"/>
      <c r="C168" s="18" t="n"/>
      <c r="D168" s="18" t="n"/>
      <c r="E168" s="20" t="n"/>
      <c r="F168" s="20">
        <f>IF(OR(D168="",E168=""),"",D168*E168)</f>
        <v/>
      </c>
      <c r="G168" s="18" t="n"/>
      <c r="H168" s="18">
        <f>IF(A168="","",YEAR(A168))</f>
        <v/>
      </c>
      <c r="I168" s="18">
        <f>IF(A168="","",MONTH(A168))</f>
        <v/>
      </c>
    </row>
    <row r="169">
      <c r="A169" s="18" t="n"/>
      <c r="B169" s="18" t="n"/>
      <c r="C169" s="18" t="n"/>
      <c r="D169" s="18" t="n"/>
      <c r="E169" s="20" t="n"/>
      <c r="F169" s="20">
        <f>IF(OR(D169="",E169=""),"",D169*E169)</f>
        <v/>
      </c>
      <c r="G169" s="18" t="n"/>
      <c r="H169" s="18">
        <f>IF(A169="","",YEAR(A169))</f>
        <v/>
      </c>
      <c r="I169" s="18">
        <f>IF(A169="","",MONTH(A169))</f>
        <v/>
      </c>
    </row>
    <row r="170">
      <c r="A170" s="18" t="n"/>
      <c r="B170" s="18" t="n"/>
      <c r="C170" s="18" t="n"/>
      <c r="D170" s="18" t="n"/>
      <c r="E170" s="20" t="n"/>
      <c r="F170" s="20">
        <f>IF(OR(D170="",E170=""),"",D170*E170)</f>
        <v/>
      </c>
      <c r="G170" s="18" t="n"/>
      <c r="H170" s="18">
        <f>IF(A170="","",YEAR(A170))</f>
        <v/>
      </c>
      <c r="I170" s="18">
        <f>IF(A170="","",MONTH(A170))</f>
        <v/>
      </c>
    </row>
    <row r="171">
      <c r="A171" s="18" t="n"/>
      <c r="B171" s="18" t="n"/>
      <c r="C171" s="18" t="n"/>
      <c r="D171" s="18" t="n"/>
      <c r="E171" s="20" t="n"/>
      <c r="F171" s="20">
        <f>IF(OR(D171="",E171=""),"",D171*E171)</f>
        <v/>
      </c>
      <c r="G171" s="18" t="n"/>
      <c r="H171" s="18">
        <f>IF(A171="","",YEAR(A171))</f>
        <v/>
      </c>
      <c r="I171" s="18">
        <f>IF(A171="","",MONTH(A171))</f>
        <v/>
      </c>
    </row>
    <row r="172">
      <c r="A172" s="18" t="n"/>
      <c r="B172" s="18" t="n"/>
      <c r="C172" s="18" t="n"/>
      <c r="D172" s="18" t="n"/>
      <c r="E172" s="20" t="n"/>
      <c r="F172" s="20">
        <f>IF(OR(D172="",E172=""),"",D172*E172)</f>
        <v/>
      </c>
      <c r="G172" s="18" t="n"/>
      <c r="H172" s="18">
        <f>IF(A172="","",YEAR(A172))</f>
        <v/>
      </c>
      <c r="I172" s="18">
        <f>IF(A172="","",MONTH(A172))</f>
        <v/>
      </c>
    </row>
    <row r="173">
      <c r="A173" s="18" t="n"/>
      <c r="B173" s="18" t="n"/>
      <c r="C173" s="18" t="n"/>
      <c r="D173" s="18" t="n"/>
      <c r="E173" s="20" t="n"/>
      <c r="F173" s="20">
        <f>IF(OR(D173="",E173=""),"",D173*E173)</f>
        <v/>
      </c>
      <c r="G173" s="18" t="n"/>
      <c r="H173" s="18">
        <f>IF(A173="","",YEAR(A173))</f>
        <v/>
      </c>
      <c r="I173" s="18">
        <f>IF(A173="","",MONTH(A173))</f>
        <v/>
      </c>
    </row>
    <row r="174">
      <c r="A174" s="18" t="n"/>
      <c r="B174" s="18" t="n"/>
      <c r="C174" s="18" t="n"/>
      <c r="D174" s="18" t="n"/>
      <c r="E174" s="20" t="n"/>
      <c r="F174" s="20">
        <f>IF(OR(D174="",E174=""),"",D174*E174)</f>
        <v/>
      </c>
      <c r="G174" s="18" t="n"/>
      <c r="H174" s="18">
        <f>IF(A174="","",YEAR(A174))</f>
        <v/>
      </c>
      <c r="I174" s="18">
        <f>IF(A174="","",MONTH(A174))</f>
        <v/>
      </c>
    </row>
    <row r="175">
      <c r="A175" s="18" t="n"/>
      <c r="B175" s="18" t="n"/>
      <c r="C175" s="18" t="n"/>
      <c r="D175" s="18" t="n"/>
      <c r="E175" s="20" t="n"/>
      <c r="F175" s="20">
        <f>IF(OR(D175="",E175=""),"",D175*E175)</f>
        <v/>
      </c>
      <c r="G175" s="18" t="n"/>
      <c r="H175" s="18">
        <f>IF(A175="","",YEAR(A175))</f>
        <v/>
      </c>
      <c r="I175" s="18">
        <f>IF(A175="","",MONTH(A175))</f>
        <v/>
      </c>
    </row>
    <row r="176">
      <c r="A176" s="18" t="n"/>
      <c r="B176" s="18" t="n"/>
      <c r="C176" s="18" t="n"/>
      <c r="D176" s="18" t="n"/>
      <c r="E176" s="20" t="n"/>
      <c r="F176" s="20">
        <f>IF(OR(D176="",E176=""),"",D176*E176)</f>
        <v/>
      </c>
      <c r="G176" s="18" t="n"/>
      <c r="H176" s="18">
        <f>IF(A176="","",YEAR(A176))</f>
        <v/>
      </c>
      <c r="I176" s="18">
        <f>IF(A176="","",MONTH(A176))</f>
        <v/>
      </c>
    </row>
    <row r="177">
      <c r="A177" s="18" t="n"/>
      <c r="B177" s="18" t="n"/>
      <c r="C177" s="18" t="n"/>
      <c r="D177" s="18" t="n"/>
      <c r="E177" s="20" t="n"/>
      <c r="F177" s="20">
        <f>IF(OR(D177="",E177=""),"",D177*E177)</f>
        <v/>
      </c>
      <c r="G177" s="18" t="n"/>
      <c r="H177" s="18">
        <f>IF(A177="","",YEAR(A177))</f>
        <v/>
      </c>
      <c r="I177" s="18">
        <f>IF(A177="","",MONTH(A177))</f>
        <v/>
      </c>
    </row>
    <row r="178">
      <c r="A178" s="18" t="n"/>
      <c r="B178" s="18" t="n"/>
      <c r="C178" s="18" t="n"/>
      <c r="D178" s="18" t="n"/>
      <c r="E178" s="20" t="n"/>
      <c r="F178" s="20">
        <f>IF(OR(D178="",E178=""),"",D178*E178)</f>
        <v/>
      </c>
      <c r="G178" s="18" t="n"/>
      <c r="H178" s="18">
        <f>IF(A178="","",YEAR(A178))</f>
        <v/>
      </c>
      <c r="I178" s="18">
        <f>IF(A178="","",MONTH(A178))</f>
        <v/>
      </c>
    </row>
    <row r="179">
      <c r="A179" s="18" t="n"/>
      <c r="B179" s="18" t="n"/>
      <c r="C179" s="18" t="n"/>
      <c r="D179" s="18" t="n"/>
      <c r="E179" s="20" t="n"/>
      <c r="F179" s="20">
        <f>IF(OR(D179="",E179=""),"",D179*E179)</f>
        <v/>
      </c>
      <c r="G179" s="18" t="n"/>
      <c r="H179" s="18">
        <f>IF(A179="","",YEAR(A179))</f>
        <v/>
      </c>
      <c r="I179" s="18">
        <f>IF(A179="","",MONTH(A179))</f>
        <v/>
      </c>
    </row>
    <row r="180">
      <c r="A180" s="18" t="n"/>
      <c r="B180" s="18" t="n"/>
      <c r="C180" s="18" t="n"/>
      <c r="D180" s="18" t="n"/>
      <c r="E180" s="20" t="n"/>
      <c r="F180" s="20">
        <f>IF(OR(D180="",E180=""),"",D180*E180)</f>
        <v/>
      </c>
      <c r="G180" s="18" t="n"/>
      <c r="H180" s="18">
        <f>IF(A180="","",YEAR(A180))</f>
        <v/>
      </c>
      <c r="I180" s="18">
        <f>IF(A180="","",MONTH(A180))</f>
        <v/>
      </c>
    </row>
    <row r="181">
      <c r="A181" s="18" t="n"/>
      <c r="B181" s="18" t="n"/>
      <c r="C181" s="18" t="n"/>
      <c r="D181" s="18" t="n"/>
      <c r="E181" s="20" t="n"/>
      <c r="F181" s="20">
        <f>IF(OR(D181="",E181=""),"",D181*E181)</f>
        <v/>
      </c>
      <c r="G181" s="18" t="n"/>
      <c r="H181" s="18">
        <f>IF(A181="","",YEAR(A181))</f>
        <v/>
      </c>
      <c r="I181" s="18">
        <f>IF(A181="","",MONTH(A181))</f>
        <v/>
      </c>
    </row>
    <row r="182">
      <c r="A182" s="18" t="n"/>
      <c r="B182" s="18" t="n"/>
      <c r="C182" s="18" t="n"/>
      <c r="D182" s="18" t="n"/>
      <c r="E182" s="20" t="n"/>
      <c r="F182" s="20">
        <f>IF(OR(D182="",E182=""),"",D182*E182)</f>
        <v/>
      </c>
      <c r="G182" s="18" t="n"/>
      <c r="H182" s="18">
        <f>IF(A182="","",YEAR(A182))</f>
        <v/>
      </c>
      <c r="I182" s="18">
        <f>IF(A182="","",MONTH(A182))</f>
        <v/>
      </c>
    </row>
    <row r="183">
      <c r="A183" s="18" t="n"/>
      <c r="B183" s="18" t="n"/>
      <c r="C183" s="18" t="n"/>
      <c r="D183" s="18" t="n"/>
      <c r="E183" s="20" t="n"/>
      <c r="F183" s="20">
        <f>IF(OR(D183="",E183=""),"",D183*E183)</f>
        <v/>
      </c>
      <c r="G183" s="18" t="n"/>
      <c r="H183" s="18">
        <f>IF(A183="","",YEAR(A183))</f>
        <v/>
      </c>
      <c r="I183" s="18">
        <f>IF(A183="","",MONTH(A183))</f>
        <v/>
      </c>
    </row>
    <row r="184">
      <c r="A184" s="18" t="n"/>
      <c r="B184" s="18" t="n"/>
      <c r="C184" s="18" t="n"/>
      <c r="D184" s="18" t="n"/>
      <c r="E184" s="20" t="n"/>
      <c r="F184" s="20">
        <f>IF(OR(D184="",E184=""),"",D184*E184)</f>
        <v/>
      </c>
      <c r="G184" s="18" t="n"/>
      <c r="H184" s="18">
        <f>IF(A184="","",YEAR(A184))</f>
        <v/>
      </c>
      <c r="I184" s="18">
        <f>IF(A184="","",MONTH(A184))</f>
        <v/>
      </c>
    </row>
    <row r="185">
      <c r="A185" s="18" t="n"/>
      <c r="B185" s="18" t="n"/>
      <c r="C185" s="18" t="n"/>
      <c r="D185" s="18" t="n"/>
      <c r="E185" s="20" t="n"/>
      <c r="F185" s="20">
        <f>IF(OR(D185="",E185=""),"",D185*E185)</f>
        <v/>
      </c>
      <c r="G185" s="18" t="n"/>
      <c r="H185" s="18">
        <f>IF(A185="","",YEAR(A185))</f>
        <v/>
      </c>
      <c r="I185" s="18">
        <f>IF(A185="","",MONTH(A185))</f>
        <v/>
      </c>
    </row>
    <row r="186">
      <c r="A186" s="18" t="n"/>
      <c r="B186" s="18" t="n"/>
      <c r="C186" s="18" t="n"/>
      <c r="D186" s="18" t="n"/>
      <c r="E186" s="20" t="n"/>
      <c r="F186" s="20">
        <f>IF(OR(D186="",E186=""),"",D186*E186)</f>
        <v/>
      </c>
      <c r="G186" s="18" t="n"/>
      <c r="H186" s="18">
        <f>IF(A186="","",YEAR(A186))</f>
        <v/>
      </c>
      <c r="I186" s="18">
        <f>IF(A186="","",MONTH(A186))</f>
        <v/>
      </c>
    </row>
    <row r="187">
      <c r="A187" s="18" t="n"/>
      <c r="B187" s="18" t="n"/>
      <c r="C187" s="18" t="n"/>
      <c r="D187" s="18" t="n"/>
      <c r="E187" s="20" t="n"/>
      <c r="F187" s="20">
        <f>IF(OR(D187="",E187=""),"",D187*E187)</f>
        <v/>
      </c>
      <c r="G187" s="18" t="n"/>
      <c r="H187" s="18">
        <f>IF(A187="","",YEAR(A187))</f>
        <v/>
      </c>
      <c r="I187" s="18">
        <f>IF(A187="","",MONTH(A187))</f>
        <v/>
      </c>
    </row>
    <row r="188">
      <c r="A188" s="18" t="n"/>
      <c r="B188" s="18" t="n"/>
      <c r="C188" s="18" t="n"/>
      <c r="D188" s="18" t="n"/>
      <c r="E188" s="20" t="n"/>
      <c r="F188" s="20">
        <f>IF(OR(D188="",E188=""),"",D188*E188)</f>
        <v/>
      </c>
      <c r="G188" s="18" t="n"/>
      <c r="H188" s="18">
        <f>IF(A188="","",YEAR(A188))</f>
        <v/>
      </c>
      <c r="I188" s="18">
        <f>IF(A188="","",MONTH(A188))</f>
        <v/>
      </c>
    </row>
    <row r="189">
      <c r="A189" s="18" t="n"/>
      <c r="B189" s="18" t="n"/>
      <c r="C189" s="18" t="n"/>
      <c r="D189" s="18" t="n"/>
      <c r="E189" s="20" t="n"/>
      <c r="F189" s="20">
        <f>IF(OR(D189="",E189=""),"",D189*E189)</f>
        <v/>
      </c>
      <c r="G189" s="18" t="n"/>
      <c r="H189" s="18">
        <f>IF(A189="","",YEAR(A189))</f>
        <v/>
      </c>
      <c r="I189" s="18">
        <f>IF(A189="","",MONTH(A189))</f>
        <v/>
      </c>
    </row>
    <row r="190">
      <c r="A190" s="18" t="n"/>
      <c r="B190" s="18" t="n"/>
      <c r="C190" s="18" t="n"/>
      <c r="D190" s="18" t="n"/>
      <c r="E190" s="20" t="n"/>
      <c r="F190" s="20">
        <f>IF(OR(D190="",E190=""),"",D190*E190)</f>
        <v/>
      </c>
      <c r="G190" s="18" t="n"/>
      <c r="H190" s="18">
        <f>IF(A190="","",YEAR(A190))</f>
        <v/>
      </c>
      <c r="I190" s="18">
        <f>IF(A190="","",MONTH(A190))</f>
        <v/>
      </c>
    </row>
    <row r="191">
      <c r="A191" s="18" t="n"/>
      <c r="B191" s="18" t="n"/>
      <c r="C191" s="18" t="n"/>
      <c r="D191" s="18" t="n"/>
      <c r="E191" s="20" t="n"/>
      <c r="F191" s="20">
        <f>IF(OR(D191="",E191=""),"",D191*E191)</f>
        <v/>
      </c>
      <c r="G191" s="18" t="n"/>
      <c r="H191" s="18">
        <f>IF(A191="","",YEAR(A191))</f>
        <v/>
      </c>
      <c r="I191" s="18">
        <f>IF(A191="","",MONTH(A191))</f>
        <v/>
      </c>
    </row>
    <row r="192">
      <c r="A192" s="18" t="n"/>
      <c r="B192" s="18" t="n"/>
      <c r="C192" s="18" t="n"/>
      <c r="D192" s="18" t="n"/>
      <c r="E192" s="20" t="n"/>
      <c r="F192" s="20">
        <f>IF(OR(D192="",E192=""),"",D192*E192)</f>
        <v/>
      </c>
      <c r="G192" s="18" t="n"/>
      <c r="H192" s="18">
        <f>IF(A192="","",YEAR(A192))</f>
        <v/>
      </c>
      <c r="I192" s="18">
        <f>IF(A192="","",MONTH(A192))</f>
        <v/>
      </c>
    </row>
    <row r="193">
      <c r="A193" s="18" t="n"/>
      <c r="B193" s="18" t="n"/>
      <c r="C193" s="18" t="n"/>
      <c r="D193" s="18" t="n"/>
      <c r="E193" s="20" t="n"/>
      <c r="F193" s="20">
        <f>IF(OR(D193="",E193=""),"",D193*E193)</f>
        <v/>
      </c>
      <c r="G193" s="18" t="n"/>
      <c r="H193" s="18">
        <f>IF(A193="","",YEAR(A193))</f>
        <v/>
      </c>
      <c r="I193" s="18">
        <f>IF(A193="","",MONTH(A193))</f>
        <v/>
      </c>
    </row>
    <row r="194">
      <c r="A194" s="18" t="n"/>
      <c r="B194" s="18" t="n"/>
      <c r="C194" s="18" t="n"/>
      <c r="D194" s="18" t="n"/>
      <c r="E194" s="20" t="n"/>
      <c r="F194" s="20">
        <f>IF(OR(D194="",E194=""),"",D194*E194)</f>
        <v/>
      </c>
      <c r="G194" s="18" t="n"/>
      <c r="H194" s="18">
        <f>IF(A194="","",YEAR(A194))</f>
        <v/>
      </c>
      <c r="I194" s="18">
        <f>IF(A194="","",MONTH(A194))</f>
        <v/>
      </c>
    </row>
    <row r="195">
      <c r="A195" s="18" t="n"/>
      <c r="B195" s="18" t="n"/>
      <c r="C195" s="18" t="n"/>
      <c r="D195" s="18" t="n"/>
      <c r="E195" s="20" t="n"/>
      <c r="F195" s="20">
        <f>IF(OR(D195="",E195=""),"",D195*E195)</f>
        <v/>
      </c>
      <c r="G195" s="18" t="n"/>
      <c r="H195" s="18">
        <f>IF(A195="","",YEAR(A195))</f>
        <v/>
      </c>
      <c r="I195" s="18">
        <f>IF(A195="","",MONTH(A195))</f>
        <v/>
      </c>
    </row>
    <row r="196">
      <c r="A196" s="18" t="n"/>
      <c r="B196" s="18" t="n"/>
      <c r="C196" s="18" t="n"/>
      <c r="D196" s="18" t="n"/>
      <c r="E196" s="20" t="n"/>
      <c r="F196" s="20">
        <f>IF(OR(D196="",E196=""),"",D196*E196)</f>
        <v/>
      </c>
      <c r="G196" s="18" t="n"/>
      <c r="H196" s="18">
        <f>IF(A196="","",YEAR(A196))</f>
        <v/>
      </c>
      <c r="I196" s="18">
        <f>IF(A196="","",MONTH(A196))</f>
        <v/>
      </c>
    </row>
    <row r="197">
      <c r="A197" s="18" t="n"/>
      <c r="B197" s="18" t="n"/>
      <c r="C197" s="18" t="n"/>
      <c r="D197" s="18" t="n"/>
      <c r="E197" s="20" t="n"/>
      <c r="F197" s="20">
        <f>IF(OR(D197="",E197=""),"",D197*E197)</f>
        <v/>
      </c>
      <c r="G197" s="18" t="n"/>
      <c r="H197" s="18">
        <f>IF(A197="","",YEAR(A197))</f>
        <v/>
      </c>
      <c r="I197" s="18">
        <f>IF(A197="","",MONTH(A197))</f>
        <v/>
      </c>
    </row>
    <row r="198">
      <c r="A198" s="18" t="n"/>
      <c r="B198" s="18" t="n"/>
      <c r="C198" s="18" t="n"/>
      <c r="D198" s="18" t="n"/>
      <c r="E198" s="20" t="n"/>
      <c r="F198" s="20">
        <f>IF(OR(D198="",E198=""),"",D198*E198)</f>
        <v/>
      </c>
      <c r="G198" s="18" t="n"/>
      <c r="H198" s="18">
        <f>IF(A198="","",YEAR(A198))</f>
        <v/>
      </c>
      <c r="I198" s="18">
        <f>IF(A198="","",MONTH(A198))</f>
        <v/>
      </c>
    </row>
    <row r="199">
      <c r="A199" s="18" t="n"/>
      <c r="B199" s="18" t="n"/>
      <c r="C199" s="18" t="n"/>
      <c r="D199" s="18" t="n"/>
      <c r="E199" s="20" t="n"/>
      <c r="F199" s="20">
        <f>IF(OR(D199="",E199=""),"",D199*E199)</f>
        <v/>
      </c>
      <c r="G199" s="18" t="n"/>
      <c r="H199" s="18">
        <f>IF(A199="","",YEAR(A199))</f>
        <v/>
      </c>
      <c r="I199" s="18">
        <f>IF(A199="","",MONTH(A199))</f>
        <v/>
      </c>
    </row>
    <row r="200">
      <c r="A200" s="18" t="n"/>
      <c r="B200" s="18" t="n"/>
      <c r="C200" s="18" t="n"/>
      <c r="D200" s="18" t="n"/>
      <c r="E200" s="20" t="n"/>
      <c r="F200" s="20">
        <f>IF(OR(D200="",E200=""),"",D200*E200)</f>
        <v/>
      </c>
      <c r="G200" s="18" t="n"/>
      <c r="H200" s="18">
        <f>IF(A200="","",YEAR(A200))</f>
        <v/>
      </c>
      <c r="I200" s="18">
        <f>IF(A200="","",MONTH(A200))</f>
        <v/>
      </c>
    </row>
    <row r="201">
      <c r="A201" s="18" t="n"/>
      <c r="B201" s="18" t="n"/>
      <c r="C201" s="18" t="n"/>
      <c r="D201" s="18" t="n"/>
      <c r="E201" s="20" t="n"/>
      <c r="F201" s="20">
        <f>IF(OR(D201="",E201=""),"",D201*E201)</f>
        <v/>
      </c>
      <c r="G201" s="18" t="n"/>
      <c r="H201" s="18">
        <f>IF(A201="","",YEAR(A201))</f>
        <v/>
      </c>
      <c r="I201" s="18">
        <f>IF(A201="","",MONTH(A201))</f>
        <v/>
      </c>
    </row>
    <row r="202">
      <c r="A202" s="18" t="n"/>
      <c r="B202" s="18" t="n"/>
      <c r="C202" s="18" t="n"/>
      <c r="D202" s="18" t="n"/>
      <c r="E202" s="20" t="n"/>
      <c r="F202" s="20">
        <f>IF(OR(D202="",E202=""),"",D202*E202)</f>
        <v/>
      </c>
      <c r="G202" s="18" t="n"/>
      <c r="H202" s="18">
        <f>IF(A202="","",YEAR(A202))</f>
        <v/>
      </c>
      <c r="I202" s="18">
        <f>IF(A202="","",MONTH(A202))</f>
        <v/>
      </c>
    </row>
    <row r="203">
      <c r="A203" s="18" t="n"/>
      <c r="B203" s="18" t="n"/>
      <c r="C203" s="18" t="n"/>
      <c r="D203" s="18" t="n"/>
      <c r="E203" s="20" t="n"/>
      <c r="F203" s="20">
        <f>IF(OR(D203="",E203=""),"",D203*E203)</f>
        <v/>
      </c>
      <c r="G203" s="18" t="n"/>
      <c r="H203" s="18">
        <f>IF(A203="","",YEAR(A203))</f>
        <v/>
      </c>
      <c r="I203" s="18">
        <f>IF(A203="","",MONTH(A203))</f>
        <v/>
      </c>
    </row>
    <row r="204">
      <c r="A204" s="18" t="n"/>
      <c r="B204" s="18" t="n"/>
      <c r="C204" s="18" t="n"/>
      <c r="D204" s="18" t="n"/>
      <c r="E204" s="20" t="n"/>
      <c r="F204" s="20">
        <f>IF(OR(D204="",E204=""),"",D204*E204)</f>
        <v/>
      </c>
      <c r="G204" s="18" t="n"/>
      <c r="H204" s="18">
        <f>IF(A204="","",YEAR(A204))</f>
        <v/>
      </c>
      <c r="I204" s="18">
        <f>IF(A204="","",MONTH(A204))</f>
        <v/>
      </c>
    </row>
    <row r="205">
      <c r="A205" s="18" t="n"/>
      <c r="B205" s="18" t="n"/>
      <c r="C205" s="18" t="n"/>
      <c r="D205" s="18" t="n"/>
      <c r="E205" s="20" t="n"/>
      <c r="F205" s="20">
        <f>IF(OR(D205="",E205=""),"",D205*E205)</f>
        <v/>
      </c>
      <c r="G205" s="18" t="n"/>
      <c r="H205" s="18">
        <f>IF(A205="","",YEAR(A205))</f>
        <v/>
      </c>
      <c r="I205" s="18">
        <f>IF(A205="","",MONTH(A205))</f>
        <v/>
      </c>
    </row>
    <row r="206">
      <c r="A206" s="18" t="n"/>
      <c r="B206" s="18" t="n"/>
      <c r="C206" s="18" t="n"/>
      <c r="D206" s="18" t="n"/>
      <c r="E206" s="20" t="n"/>
      <c r="F206" s="20">
        <f>IF(OR(D206="",E206=""),"",D206*E206)</f>
        <v/>
      </c>
      <c r="G206" s="18" t="n"/>
      <c r="H206" s="18">
        <f>IF(A206="","",YEAR(A206))</f>
        <v/>
      </c>
      <c r="I206" s="18">
        <f>IF(A206="","",MONTH(A206))</f>
        <v/>
      </c>
    </row>
    <row r="207">
      <c r="A207" s="18" t="n"/>
      <c r="B207" s="18" t="n"/>
      <c r="C207" s="18" t="n"/>
      <c r="D207" s="18" t="n"/>
      <c r="E207" s="20" t="n"/>
      <c r="F207" s="20">
        <f>IF(OR(D207="",E207=""),"",D207*E207)</f>
        <v/>
      </c>
      <c r="G207" s="18" t="n"/>
      <c r="H207" s="18">
        <f>IF(A207="","",YEAR(A207))</f>
        <v/>
      </c>
      <c r="I207" s="18">
        <f>IF(A207="","",MONTH(A207))</f>
        <v/>
      </c>
    </row>
    <row r="208">
      <c r="A208" s="18" t="n"/>
      <c r="B208" s="18" t="n"/>
      <c r="C208" s="18" t="n"/>
      <c r="D208" s="18" t="n"/>
      <c r="E208" s="20" t="n"/>
      <c r="F208" s="20">
        <f>IF(OR(D208="",E208=""),"",D208*E208)</f>
        <v/>
      </c>
      <c r="G208" s="18" t="n"/>
      <c r="H208" s="18">
        <f>IF(A208="","",YEAR(A208))</f>
        <v/>
      </c>
      <c r="I208" s="18">
        <f>IF(A208="","",MONTH(A208))</f>
        <v/>
      </c>
    </row>
    <row r="209">
      <c r="A209" s="18" t="n"/>
      <c r="B209" s="18" t="n"/>
      <c r="C209" s="18" t="n"/>
      <c r="D209" s="18" t="n"/>
      <c r="E209" s="20" t="n"/>
      <c r="F209" s="20">
        <f>IF(OR(D209="",E209=""),"",D209*E209)</f>
        <v/>
      </c>
      <c r="G209" s="18" t="n"/>
      <c r="H209" s="18">
        <f>IF(A209="","",YEAR(A209))</f>
        <v/>
      </c>
      <c r="I209" s="18">
        <f>IF(A209="","",MONTH(A209))</f>
        <v/>
      </c>
    </row>
    <row r="210">
      <c r="A210" s="18" t="n"/>
      <c r="B210" s="18" t="n"/>
      <c r="C210" s="18" t="n"/>
      <c r="D210" s="18" t="n"/>
      <c r="E210" s="20" t="n"/>
      <c r="F210" s="20">
        <f>IF(OR(D210="",E210=""),"",D210*E210)</f>
        <v/>
      </c>
      <c r="G210" s="18" t="n"/>
      <c r="H210" s="18">
        <f>IF(A210="","",YEAR(A210))</f>
        <v/>
      </c>
      <c r="I210" s="18">
        <f>IF(A210="","",MONTH(A210))</f>
        <v/>
      </c>
    </row>
    <row r="211">
      <c r="A211" s="18" t="n"/>
      <c r="B211" s="18" t="n"/>
      <c r="C211" s="18" t="n"/>
      <c r="D211" s="18" t="n"/>
      <c r="E211" s="20" t="n"/>
      <c r="F211" s="20">
        <f>IF(OR(D211="",E211=""),"",D211*E211)</f>
        <v/>
      </c>
      <c r="G211" s="18" t="n"/>
      <c r="H211" s="18">
        <f>IF(A211="","",YEAR(A211))</f>
        <v/>
      </c>
      <c r="I211" s="18">
        <f>IF(A211="","",MONTH(A211))</f>
        <v/>
      </c>
    </row>
    <row r="212">
      <c r="A212" s="18" t="n"/>
      <c r="B212" s="18" t="n"/>
      <c r="C212" s="18" t="n"/>
      <c r="D212" s="18" t="n"/>
      <c r="E212" s="20" t="n"/>
      <c r="F212" s="20">
        <f>IF(OR(D212="",E212=""),"",D212*E212)</f>
        <v/>
      </c>
      <c r="G212" s="18" t="n"/>
      <c r="H212" s="18">
        <f>IF(A212="","",YEAR(A212))</f>
        <v/>
      </c>
      <c r="I212" s="18">
        <f>IF(A212="","",MONTH(A212))</f>
        <v/>
      </c>
    </row>
    <row r="213">
      <c r="A213" s="18" t="n"/>
      <c r="B213" s="18" t="n"/>
      <c r="C213" s="18" t="n"/>
      <c r="D213" s="18" t="n"/>
      <c r="E213" s="20" t="n"/>
      <c r="F213" s="20">
        <f>IF(OR(D213="",E213=""),"",D213*E213)</f>
        <v/>
      </c>
      <c r="G213" s="18" t="n"/>
      <c r="H213" s="18">
        <f>IF(A213="","",YEAR(A213))</f>
        <v/>
      </c>
      <c r="I213" s="18">
        <f>IF(A213="","",MONTH(A213))</f>
        <v/>
      </c>
    </row>
    <row r="214">
      <c r="A214" s="18" t="n"/>
      <c r="B214" s="18" t="n"/>
      <c r="C214" s="18" t="n"/>
      <c r="D214" s="18" t="n"/>
      <c r="E214" s="20" t="n"/>
      <c r="F214" s="20">
        <f>IF(OR(D214="",E214=""),"",D214*E214)</f>
        <v/>
      </c>
      <c r="G214" s="18" t="n"/>
      <c r="H214" s="18">
        <f>IF(A214="","",YEAR(A214))</f>
        <v/>
      </c>
      <c r="I214" s="18">
        <f>IF(A214="","",MONTH(A214))</f>
        <v/>
      </c>
    </row>
    <row r="215">
      <c r="A215" s="18" t="n"/>
      <c r="B215" s="18" t="n"/>
      <c r="C215" s="18" t="n"/>
      <c r="D215" s="18" t="n"/>
      <c r="E215" s="20" t="n"/>
      <c r="F215" s="20">
        <f>IF(OR(D215="",E215=""),"",D215*E215)</f>
        <v/>
      </c>
      <c r="G215" s="18" t="n"/>
      <c r="H215" s="18">
        <f>IF(A215="","",YEAR(A215))</f>
        <v/>
      </c>
      <c r="I215" s="18">
        <f>IF(A215="","",MONTH(A215))</f>
        <v/>
      </c>
    </row>
    <row r="216">
      <c r="A216" s="18" t="n"/>
      <c r="B216" s="18" t="n"/>
      <c r="C216" s="18" t="n"/>
      <c r="D216" s="18" t="n"/>
      <c r="E216" s="20" t="n"/>
      <c r="F216" s="20">
        <f>IF(OR(D216="",E216=""),"",D216*E216)</f>
        <v/>
      </c>
      <c r="G216" s="18" t="n"/>
      <c r="H216" s="18">
        <f>IF(A216="","",YEAR(A216))</f>
        <v/>
      </c>
      <c r="I216" s="18">
        <f>IF(A216="","",MONTH(A216))</f>
        <v/>
      </c>
    </row>
    <row r="217">
      <c r="A217" s="18" t="n"/>
      <c r="B217" s="18" t="n"/>
      <c r="C217" s="18" t="n"/>
      <c r="D217" s="18" t="n"/>
      <c r="E217" s="20" t="n"/>
      <c r="F217" s="20">
        <f>IF(OR(D217="",E217=""),"",D217*E217)</f>
        <v/>
      </c>
      <c r="G217" s="18" t="n"/>
      <c r="H217" s="18">
        <f>IF(A217="","",YEAR(A217))</f>
        <v/>
      </c>
      <c r="I217" s="18">
        <f>IF(A217="","",MONTH(A217))</f>
        <v/>
      </c>
    </row>
    <row r="218">
      <c r="A218" s="18" t="n"/>
      <c r="B218" s="18" t="n"/>
      <c r="C218" s="18" t="n"/>
      <c r="D218" s="18" t="n"/>
      <c r="E218" s="20" t="n"/>
      <c r="F218" s="20">
        <f>IF(OR(D218="",E218=""),"",D218*E218)</f>
        <v/>
      </c>
      <c r="G218" s="18" t="n"/>
      <c r="H218" s="18">
        <f>IF(A218="","",YEAR(A218))</f>
        <v/>
      </c>
      <c r="I218" s="18">
        <f>IF(A218="","",MONTH(A218))</f>
        <v/>
      </c>
    </row>
    <row r="219">
      <c r="A219" s="18" t="n"/>
      <c r="B219" s="18" t="n"/>
      <c r="C219" s="18" t="n"/>
      <c r="D219" s="18" t="n"/>
      <c r="E219" s="20" t="n"/>
      <c r="F219" s="20">
        <f>IF(OR(D219="",E219=""),"",D219*E219)</f>
        <v/>
      </c>
      <c r="G219" s="18" t="n"/>
      <c r="H219" s="18">
        <f>IF(A219="","",YEAR(A219))</f>
        <v/>
      </c>
      <c r="I219" s="18">
        <f>IF(A219="","",MONTH(A219))</f>
        <v/>
      </c>
    </row>
    <row r="220">
      <c r="A220" s="18" t="n"/>
      <c r="B220" s="18" t="n"/>
      <c r="C220" s="18" t="n"/>
      <c r="D220" s="18" t="n"/>
      <c r="E220" s="20" t="n"/>
      <c r="F220" s="20">
        <f>IF(OR(D220="",E220=""),"",D220*E220)</f>
        <v/>
      </c>
      <c r="G220" s="18" t="n"/>
      <c r="H220" s="18">
        <f>IF(A220="","",YEAR(A220))</f>
        <v/>
      </c>
      <c r="I220" s="18">
        <f>IF(A220="","",MONTH(A220))</f>
        <v/>
      </c>
    </row>
    <row r="221">
      <c r="A221" s="18" t="n"/>
      <c r="B221" s="18" t="n"/>
      <c r="C221" s="18" t="n"/>
      <c r="D221" s="18" t="n"/>
      <c r="E221" s="20" t="n"/>
      <c r="F221" s="20">
        <f>IF(OR(D221="",E221=""),"",D221*E221)</f>
        <v/>
      </c>
      <c r="G221" s="18" t="n"/>
      <c r="H221" s="18">
        <f>IF(A221="","",YEAR(A221))</f>
        <v/>
      </c>
      <c r="I221" s="18">
        <f>IF(A221="","",MONTH(A221))</f>
        <v/>
      </c>
    </row>
    <row r="222">
      <c r="A222" s="18" t="n"/>
      <c r="B222" s="18" t="n"/>
      <c r="C222" s="18" t="n"/>
      <c r="D222" s="18" t="n"/>
      <c r="E222" s="20" t="n"/>
      <c r="F222" s="20">
        <f>IF(OR(D222="",E222=""),"",D222*E222)</f>
        <v/>
      </c>
      <c r="G222" s="18" t="n"/>
      <c r="H222" s="18">
        <f>IF(A222="","",YEAR(A222))</f>
        <v/>
      </c>
      <c r="I222" s="18">
        <f>IF(A222="","",MONTH(A222))</f>
        <v/>
      </c>
    </row>
    <row r="223">
      <c r="A223" s="18" t="n"/>
      <c r="B223" s="18" t="n"/>
      <c r="C223" s="18" t="n"/>
      <c r="D223" s="18" t="n"/>
      <c r="E223" s="20" t="n"/>
      <c r="F223" s="20">
        <f>IF(OR(D223="",E223=""),"",D223*E223)</f>
        <v/>
      </c>
      <c r="G223" s="18" t="n"/>
      <c r="H223" s="18">
        <f>IF(A223="","",YEAR(A223))</f>
        <v/>
      </c>
      <c r="I223" s="18">
        <f>IF(A223="","",MONTH(A223))</f>
        <v/>
      </c>
    </row>
    <row r="224">
      <c r="A224" s="18" t="n"/>
      <c r="B224" s="18" t="n"/>
      <c r="C224" s="18" t="n"/>
      <c r="D224" s="18" t="n"/>
      <c r="E224" s="20" t="n"/>
      <c r="F224" s="20">
        <f>IF(OR(D224="",E224=""),"",D224*E224)</f>
        <v/>
      </c>
      <c r="G224" s="18" t="n"/>
      <c r="H224" s="18">
        <f>IF(A224="","",YEAR(A224))</f>
        <v/>
      </c>
      <c r="I224" s="18">
        <f>IF(A224="","",MONTH(A224))</f>
        <v/>
      </c>
    </row>
    <row r="225">
      <c r="A225" s="18" t="n"/>
      <c r="B225" s="18" t="n"/>
      <c r="C225" s="18" t="n"/>
      <c r="D225" s="18" t="n"/>
      <c r="E225" s="20" t="n"/>
      <c r="F225" s="20">
        <f>IF(OR(D225="",E225=""),"",D225*E225)</f>
        <v/>
      </c>
      <c r="G225" s="18" t="n"/>
      <c r="H225" s="18">
        <f>IF(A225="","",YEAR(A225))</f>
        <v/>
      </c>
      <c r="I225" s="18">
        <f>IF(A225="","",MONTH(A225))</f>
        <v/>
      </c>
    </row>
    <row r="226">
      <c r="A226" s="18" t="n"/>
      <c r="B226" s="18" t="n"/>
      <c r="C226" s="18" t="n"/>
      <c r="D226" s="18" t="n"/>
      <c r="E226" s="20" t="n"/>
      <c r="F226" s="20">
        <f>IF(OR(D226="",E226=""),"",D226*E226)</f>
        <v/>
      </c>
      <c r="G226" s="18" t="n"/>
      <c r="H226" s="18">
        <f>IF(A226="","",YEAR(A226))</f>
        <v/>
      </c>
      <c r="I226" s="18">
        <f>IF(A226="","",MONTH(A226))</f>
        <v/>
      </c>
    </row>
    <row r="227">
      <c r="A227" s="18" t="n"/>
      <c r="B227" s="18" t="n"/>
      <c r="C227" s="18" t="n"/>
      <c r="D227" s="18" t="n"/>
      <c r="E227" s="20" t="n"/>
      <c r="F227" s="20">
        <f>IF(OR(D227="",E227=""),"",D227*E227)</f>
        <v/>
      </c>
      <c r="G227" s="18" t="n"/>
      <c r="H227" s="18">
        <f>IF(A227="","",YEAR(A227))</f>
        <v/>
      </c>
      <c r="I227" s="18">
        <f>IF(A227="","",MONTH(A227))</f>
        <v/>
      </c>
    </row>
    <row r="228">
      <c r="A228" s="18" t="n"/>
      <c r="B228" s="18" t="n"/>
      <c r="C228" s="18" t="n"/>
      <c r="D228" s="18" t="n"/>
      <c r="E228" s="20" t="n"/>
      <c r="F228" s="20">
        <f>IF(OR(D228="",E228=""),"",D228*E228)</f>
        <v/>
      </c>
      <c r="G228" s="18" t="n"/>
      <c r="H228" s="18">
        <f>IF(A228="","",YEAR(A228))</f>
        <v/>
      </c>
      <c r="I228" s="18">
        <f>IF(A228="","",MONTH(A228))</f>
        <v/>
      </c>
    </row>
    <row r="229">
      <c r="A229" s="18" t="n"/>
      <c r="B229" s="18" t="n"/>
      <c r="C229" s="18" t="n"/>
      <c r="D229" s="18" t="n"/>
      <c r="E229" s="20" t="n"/>
      <c r="F229" s="20">
        <f>IF(OR(D229="",E229=""),"",D229*E229)</f>
        <v/>
      </c>
      <c r="G229" s="18" t="n"/>
      <c r="H229" s="18">
        <f>IF(A229="","",YEAR(A229))</f>
        <v/>
      </c>
      <c r="I229" s="18">
        <f>IF(A229="","",MONTH(A229))</f>
        <v/>
      </c>
    </row>
    <row r="230">
      <c r="A230" s="18" t="n"/>
      <c r="B230" s="18" t="n"/>
      <c r="C230" s="18" t="n"/>
      <c r="D230" s="18" t="n"/>
      <c r="E230" s="20" t="n"/>
      <c r="F230" s="20">
        <f>IF(OR(D230="",E230=""),"",D230*E230)</f>
        <v/>
      </c>
      <c r="G230" s="18" t="n"/>
      <c r="H230" s="18">
        <f>IF(A230="","",YEAR(A230))</f>
        <v/>
      </c>
      <c r="I230" s="18">
        <f>IF(A230="","",MONTH(A230))</f>
        <v/>
      </c>
    </row>
    <row r="231">
      <c r="A231" s="18" t="n"/>
      <c r="B231" s="18" t="n"/>
      <c r="C231" s="18" t="n"/>
      <c r="D231" s="18" t="n"/>
      <c r="E231" s="20" t="n"/>
      <c r="F231" s="20">
        <f>IF(OR(D231="",E231=""),"",D231*E231)</f>
        <v/>
      </c>
      <c r="G231" s="18" t="n"/>
      <c r="H231" s="18">
        <f>IF(A231="","",YEAR(A231))</f>
        <v/>
      </c>
      <c r="I231" s="18">
        <f>IF(A231="","",MONTH(A231))</f>
        <v/>
      </c>
    </row>
    <row r="232">
      <c r="A232" s="18" t="n"/>
      <c r="B232" s="18" t="n"/>
      <c r="C232" s="18" t="n"/>
      <c r="D232" s="18" t="n"/>
      <c r="E232" s="20" t="n"/>
      <c r="F232" s="20">
        <f>IF(OR(D232="",E232=""),"",D232*E232)</f>
        <v/>
      </c>
      <c r="G232" s="18" t="n"/>
      <c r="H232" s="18">
        <f>IF(A232="","",YEAR(A232))</f>
        <v/>
      </c>
      <c r="I232" s="18">
        <f>IF(A232="","",MONTH(A232))</f>
        <v/>
      </c>
    </row>
    <row r="233">
      <c r="A233" s="18" t="n"/>
      <c r="B233" s="18" t="n"/>
      <c r="C233" s="18" t="n"/>
      <c r="D233" s="18" t="n"/>
      <c r="E233" s="20" t="n"/>
      <c r="F233" s="20">
        <f>IF(OR(D233="",E233=""),"",D233*E233)</f>
        <v/>
      </c>
      <c r="G233" s="18" t="n"/>
      <c r="H233" s="18">
        <f>IF(A233="","",YEAR(A233))</f>
        <v/>
      </c>
      <c r="I233" s="18">
        <f>IF(A233="","",MONTH(A233))</f>
        <v/>
      </c>
    </row>
    <row r="234">
      <c r="A234" s="18" t="n"/>
      <c r="B234" s="18" t="n"/>
      <c r="C234" s="18" t="n"/>
      <c r="D234" s="18" t="n"/>
      <c r="E234" s="20" t="n"/>
      <c r="F234" s="20">
        <f>IF(OR(D234="",E234=""),"",D234*E234)</f>
        <v/>
      </c>
      <c r="G234" s="18" t="n"/>
      <c r="H234" s="18">
        <f>IF(A234="","",YEAR(A234))</f>
        <v/>
      </c>
      <c r="I234" s="18">
        <f>IF(A234="","",MONTH(A234))</f>
        <v/>
      </c>
    </row>
    <row r="235">
      <c r="A235" s="18" t="n"/>
      <c r="B235" s="18" t="n"/>
      <c r="C235" s="18" t="n"/>
      <c r="D235" s="18" t="n"/>
      <c r="E235" s="20" t="n"/>
      <c r="F235" s="20">
        <f>IF(OR(D235="",E235=""),"",D235*E235)</f>
        <v/>
      </c>
      <c r="G235" s="18" t="n"/>
      <c r="H235" s="18">
        <f>IF(A235="","",YEAR(A235))</f>
        <v/>
      </c>
      <c r="I235" s="18">
        <f>IF(A235="","",MONTH(A235))</f>
        <v/>
      </c>
    </row>
    <row r="236">
      <c r="A236" s="18" t="n"/>
      <c r="B236" s="18" t="n"/>
      <c r="C236" s="18" t="n"/>
      <c r="D236" s="18" t="n"/>
      <c r="E236" s="20" t="n"/>
      <c r="F236" s="20">
        <f>IF(OR(D236="",E236=""),"",D236*E236)</f>
        <v/>
      </c>
      <c r="G236" s="18" t="n"/>
      <c r="H236" s="18">
        <f>IF(A236="","",YEAR(A236))</f>
        <v/>
      </c>
      <c r="I236" s="18">
        <f>IF(A236="","",MONTH(A236))</f>
        <v/>
      </c>
    </row>
    <row r="237">
      <c r="A237" s="18" t="n"/>
      <c r="B237" s="18" t="n"/>
      <c r="C237" s="18" t="n"/>
      <c r="D237" s="18" t="n"/>
      <c r="E237" s="20" t="n"/>
      <c r="F237" s="20">
        <f>IF(OR(D237="",E237=""),"",D237*E237)</f>
        <v/>
      </c>
      <c r="G237" s="18" t="n"/>
      <c r="H237" s="18">
        <f>IF(A237="","",YEAR(A237))</f>
        <v/>
      </c>
      <c r="I237" s="18">
        <f>IF(A237="","",MONTH(A237))</f>
        <v/>
      </c>
    </row>
    <row r="238">
      <c r="A238" s="18" t="n"/>
      <c r="B238" s="18" t="n"/>
      <c r="C238" s="18" t="n"/>
      <c r="D238" s="18" t="n"/>
      <c r="E238" s="20" t="n"/>
      <c r="F238" s="20">
        <f>IF(OR(D238="",E238=""),"",D238*E238)</f>
        <v/>
      </c>
      <c r="G238" s="18" t="n"/>
      <c r="H238" s="18">
        <f>IF(A238="","",YEAR(A238))</f>
        <v/>
      </c>
      <c r="I238" s="18">
        <f>IF(A238="","",MONTH(A238))</f>
        <v/>
      </c>
    </row>
    <row r="239">
      <c r="A239" s="18" t="n"/>
      <c r="B239" s="18" t="n"/>
      <c r="C239" s="18" t="n"/>
      <c r="D239" s="18" t="n"/>
      <c r="E239" s="20" t="n"/>
      <c r="F239" s="20">
        <f>IF(OR(D239="",E239=""),"",D239*E239)</f>
        <v/>
      </c>
      <c r="G239" s="18" t="n"/>
      <c r="H239" s="18">
        <f>IF(A239="","",YEAR(A239))</f>
        <v/>
      </c>
      <c r="I239" s="18">
        <f>IF(A239="","",MONTH(A239))</f>
        <v/>
      </c>
    </row>
    <row r="240">
      <c r="A240" s="18" t="n"/>
      <c r="B240" s="18" t="n"/>
      <c r="C240" s="18" t="n"/>
      <c r="D240" s="18" t="n"/>
      <c r="E240" s="20" t="n"/>
      <c r="F240" s="20">
        <f>IF(OR(D240="",E240=""),"",D240*E240)</f>
        <v/>
      </c>
      <c r="G240" s="18" t="n"/>
      <c r="H240" s="18">
        <f>IF(A240="","",YEAR(A240))</f>
        <v/>
      </c>
      <c r="I240" s="18">
        <f>IF(A240="","",MONTH(A240))</f>
        <v/>
      </c>
    </row>
    <row r="241">
      <c r="A241" s="18" t="n"/>
      <c r="B241" s="18" t="n"/>
      <c r="C241" s="18" t="n"/>
      <c r="D241" s="18" t="n"/>
      <c r="E241" s="20" t="n"/>
      <c r="F241" s="20">
        <f>IF(OR(D241="",E241=""),"",D241*E241)</f>
        <v/>
      </c>
      <c r="G241" s="18" t="n"/>
      <c r="H241" s="18">
        <f>IF(A241="","",YEAR(A241))</f>
        <v/>
      </c>
      <c r="I241" s="18">
        <f>IF(A241="","",MONTH(A241))</f>
        <v/>
      </c>
    </row>
    <row r="242">
      <c r="A242" s="18" t="n"/>
      <c r="B242" s="18" t="n"/>
      <c r="C242" s="18" t="n"/>
      <c r="D242" s="18" t="n"/>
      <c r="E242" s="20" t="n"/>
      <c r="F242" s="20">
        <f>IF(OR(D242="",E242=""),"",D242*E242)</f>
        <v/>
      </c>
      <c r="G242" s="18" t="n"/>
      <c r="H242" s="18">
        <f>IF(A242="","",YEAR(A242))</f>
        <v/>
      </c>
      <c r="I242" s="18">
        <f>IF(A242="","",MONTH(A242))</f>
        <v/>
      </c>
    </row>
    <row r="243">
      <c r="A243" s="18" t="n"/>
      <c r="B243" s="18" t="n"/>
      <c r="C243" s="18" t="n"/>
      <c r="D243" s="18" t="n"/>
      <c r="E243" s="20" t="n"/>
      <c r="F243" s="20">
        <f>IF(OR(D243="",E243=""),"",D243*E243)</f>
        <v/>
      </c>
      <c r="G243" s="18" t="n"/>
      <c r="H243" s="18">
        <f>IF(A243="","",YEAR(A243))</f>
        <v/>
      </c>
      <c r="I243" s="18">
        <f>IF(A243="","",MONTH(A243))</f>
        <v/>
      </c>
    </row>
    <row r="244">
      <c r="A244" s="18" t="n"/>
      <c r="B244" s="18" t="n"/>
      <c r="C244" s="18" t="n"/>
      <c r="D244" s="18" t="n"/>
      <c r="E244" s="20" t="n"/>
      <c r="F244" s="20">
        <f>IF(OR(D244="",E244=""),"",D244*E244)</f>
        <v/>
      </c>
      <c r="G244" s="18" t="n"/>
      <c r="H244" s="18">
        <f>IF(A244="","",YEAR(A244))</f>
        <v/>
      </c>
      <c r="I244" s="18">
        <f>IF(A244="","",MONTH(A244))</f>
        <v/>
      </c>
    </row>
    <row r="245">
      <c r="A245" s="18" t="n"/>
      <c r="B245" s="18" t="n"/>
      <c r="C245" s="18" t="n"/>
      <c r="D245" s="18" t="n"/>
      <c r="E245" s="20" t="n"/>
      <c r="F245" s="20">
        <f>IF(OR(D245="",E245=""),"",D245*E245)</f>
        <v/>
      </c>
      <c r="G245" s="18" t="n"/>
      <c r="H245" s="18">
        <f>IF(A245="","",YEAR(A245))</f>
        <v/>
      </c>
      <c r="I245" s="18">
        <f>IF(A245="","",MONTH(A245))</f>
        <v/>
      </c>
    </row>
    <row r="246">
      <c r="A246" s="18" t="n"/>
      <c r="B246" s="18" t="n"/>
      <c r="C246" s="18" t="n"/>
      <c r="D246" s="18" t="n"/>
      <c r="E246" s="20" t="n"/>
      <c r="F246" s="20">
        <f>IF(OR(D246="",E246=""),"",D246*E246)</f>
        <v/>
      </c>
      <c r="G246" s="18" t="n"/>
      <c r="H246" s="18">
        <f>IF(A246="","",YEAR(A246))</f>
        <v/>
      </c>
      <c r="I246" s="18">
        <f>IF(A246="","",MONTH(A246))</f>
        <v/>
      </c>
    </row>
    <row r="247">
      <c r="A247" s="18" t="n"/>
      <c r="B247" s="18" t="n"/>
      <c r="C247" s="18" t="n"/>
      <c r="D247" s="18" t="n"/>
      <c r="E247" s="20" t="n"/>
      <c r="F247" s="20">
        <f>IF(OR(D247="",E247=""),"",D247*E247)</f>
        <v/>
      </c>
      <c r="G247" s="18" t="n"/>
      <c r="H247" s="18">
        <f>IF(A247="","",YEAR(A247))</f>
        <v/>
      </c>
      <c r="I247" s="18">
        <f>IF(A247="","",MONTH(A247))</f>
        <v/>
      </c>
    </row>
    <row r="248">
      <c r="A248" s="18" t="n"/>
      <c r="B248" s="18" t="n"/>
      <c r="C248" s="18" t="n"/>
      <c r="D248" s="18" t="n"/>
      <c r="E248" s="20" t="n"/>
      <c r="F248" s="20">
        <f>IF(OR(D248="",E248=""),"",D248*E248)</f>
        <v/>
      </c>
      <c r="G248" s="18" t="n"/>
      <c r="H248" s="18">
        <f>IF(A248="","",YEAR(A248))</f>
        <v/>
      </c>
      <c r="I248" s="18">
        <f>IF(A248="","",MONTH(A248))</f>
        <v/>
      </c>
    </row>
    <row r="249">
      <c r="A249" s="18" t="n"/>
      <c r="B249" s="18" t="n"/>
      <c r="C249" s="18" t="n"/>
      <c r="D249" s="18" t="n"/>
      <c r="E249" s="20" t="n"/>
      <c r="F249" s="20">
        <f>IF(OR(D249="",E249=""),"",D249*E249)</f>
        <v/>
      </c>
      <c r="G249" s="18" t="n"/>
      <c r="H249" s="18">
        <f>IF(A249="","",YEAR(A249))</f>
        <v/>
      </c>
      <c r="I249" s="18">
        <f>IF(A249="","",MONTH(A249))</f>
        <v/>
      </c>
    </row>
    <row r="250">
      <c r="A250" s="18" t="n"/>
      <c r="B250" s="18" t="n"/>
      <c r="C250" s="18" t="n"/>
      <c r="D250" s="18" t="n"/>
      <c r="E250" s="20" t="n"/>
      <c r="F250" s="20">
        <f>IF(OR(D250="",E250=""),"",D250*E250)</f>
        <v/>
      </c>
      <c r="G250" s="18" t="n"/>
      <c r="H250" s="18">
        <f>IF(A250="","",YEAR(A250))</f>
        <v/>
      </c>
      <c r="I250" s="18">
        <f>IF(A250="","",MONTH(A250))</f>
        <v/>
      </c>
    </row>
    <row r="251">
      <c r="A251" s="18" t="n"/>
      <c r="B251" s="18" t="n"/>
      <c r="C251" s="18" t="n"/>
      <c r="D251" s="18" t="n"/>
      <c r="E251" s="20" t="n"/>
      <c r="F251" s="20">
        <f>IF(OR(D251="",E251=""),"",D251*E251)</f>
        <v/>
      </c>
      <c r="G251" s="18" t="n"/>
      <c r="H251" s="18">
        <f>IF(A251="","",YEAR(A251))</f>
        <v/>
      </c>
      <c r="I251" s="18">
        <f>IF(A251="","",MONTH(A251))</f>
        <v/>
      </c>
    </row>
    <row r="252">
      <c r="A252" s="18" t="n"/>
      <c r="B252" s="18" t="n"/>
      <c r="C252" s="18" t="n"/>
      <c r="D252" s="18" t="n"/>
      <c r="E252" s="20" t="n"/>
      <c r="F252" s="20">
        <f>IF(OR(D252="",E252=""),"",D252*E252)</f>
        <v/>
      </c>
      <c r="G252" s="18" t="n"/>
      <c r="H252" s="18">
        <f>IF(A252="","",YEAR(A252))</f>
        <v/>
      </c>
      <c r="I252" s="18">
        <f>IF(A252="","",MONTH(A252))</f>
        <v/>
      </c>
    </row>
    <row r="253">
      <c r="A253" s="18" t="n"/>
      <c r="B253" s="18" t="n"/>
      <c r="C253" s="18" t="n"/>
      <c r="D253" s="18" t="n"/>
      <c r="E253" s="20" t="n"/>
      <c r="F253" s="20">
        <f>IF(OR(D253="",E253=""),"",D253*E253)</f>
        <v/>
      </c>
      <c r="G253" s="18" t="n"/>
      <c r="H253" s="18">
        <f>IF(A253="","",YEAR(A253))</f>
        <v/>
      </c>
      <c r="I253" s="18">
        <f>IF(A253="","",MONTH(A253))</f>
        <v/>
      </c>
    </row>
    <row r="254">
      <c r="A254" s="18" t="n"/>
      <c r="B254" s="18" t="n"/>
      <c r="C254" s="18" t="n"/>
      <c r="D254" s="18" t="n"/>
      <c r="E254" s="20" t="n"/>
      <c r="F254" s="20">
        <f>IF(OR(D254="",E254=""),"",D254*E254)</f>
        <v/>
      </c>
      <c r="G254" s="18" t="n"/>
      <c r="H254" s="18">
        <f>IF(A254="","",YEAR(A254))</f>
        <v/>
      </c>
      <c r="I254" s="18">
        <f>IF(A254="","",MONTH(A254))</f>
        <v/>
      </c>
    </row>
    <row r="255">
      <c r="A255" s="18" t="n"/>
      <c r="B255" s="18" t="n"/>
      <c r="C255" s="18" t="n"/>
      <c r="D255" s="18" t="n"/>
      <c r="E255" s="20" t="n"/>
      <c r="F255" s="20">
        <f>IF(OR(D255="",E255=""),"",D255*E255)</f>
        <v/>
      </c>
      <c r="G255" s="18" t="n"/>
      <c r="H255" s="18">
        <f>IF(A255="","",YEAR(A255))</f>
        <v/>
      </c>
      <c r="I255" s="18">
        <f>IF(A255="","",MONTH(A255))</f>
        <v/>
      </c>
    </row>
    <row r="256">
      <c r="A256" s="18" t="n"/>
      <c r="B256" s="18" t="n"/>
      <c r="C256" s="18" t="n"/>
      <c r="D256" s="18" t="n"/>
      <c r="E256" s="20" t="n"/>
      <c r="F256" s="20">
        <f>IF(OR(D256="",E256=""),"",D256*E256)</f>
        <v/>
      </c>
      <c r="G256" s="18" t="n"/>
      <c r="H256" s="18">
        <f>IF(A256="","",YEAR(A256))</f>
        <v/>
      </c>
      <c r="I256" s="18">
        <f>IF(A256="","",MONTH(A256))</f>
        <v/>
      </c>
    </row>
    <row r="257">
      <c r="A257" s="18" t="n"/>
      <c r="B257" s="18" t="n"/>
      <c r="C257" s="18" t="n"/>
      <c r="D257" s="18" t="n"/>
      <c r="E257" s="20" t="n"/>
      <c r="F257" s="20">
        <f>IF(OR(D257="",E257=""),"",D257*E257)</f>
        <v/>
      </c>
      <c r="G257" s="18" t="n"/>
      <c r="H257" s="18">
        <f>IF(A257="","",YEAR(A257))</f>
        <v/>
      </c>
      <c r="I257" s="18">
        <f>IF(A257="","",MONTH(A257))</f>
        <v/>
      </c>
    </row>
    <row r="258">
      <c r="A258" s="18" t="n"/>
      <c r="B258" s="18" t="n"/>
      <c r="C258" s="18" t="n"/>
      <c r="D258" s="18" t="n"/>
      <c r="E258" s="20" t="n"/>
      <c r="F258" s="20">
        <f>IF(OR(D258="",E258=""),"",D258*E258)</f>
        <v/>
      </c>
      <c r="G258" s="18" t="n"/>
      <c r="H258" s="18">
        <f>IF(A258="","",YEAR(A258))</f>
        <v/>
      </c>
      <c r="I258" s="18">
        <f>IF(A258="","",MONTH(A258))</f>
        <v/>
      </c>
    </row>
    <row r="259">
      <c r="A259" s="18" t="n"/>
      <c r="B259" s="18" t="n"/>
      <c r="C259" s="18" t="n"/>
      <c r="D259" s="18" t="n"/>
      <c r="E259" s="20" t="n"/>
      <c r="F259" s="20">
        <f>IF(OR(D259="",E259=""),"",D259*E259)</f>
        <v/>
      </c>
      <c r="G259" s="18" t="n"/>
      <c r="H259" s="18">
        <f>IF(A259="","",YEAR(A259))</f>
        <v/>
      </c>
      <c r="I259" s="18">
        <f>IF(A259="","",MONTH(A259))</f>
        <v/>
      </c>
    </row>
    <row r="260">
      <c r="A260" s="18" t="n"/>
      <c r="B260" s="18" t="n"/>
      <c r="C260" s="18" t="n"/>
      <c r="D260" s="18" t="n"/>
      <c r="E260" s="20" t="n"/>
      <c r="F260" s="20">
        <f>IF(OR(D260="",E260=""),"",D260*E260)</f>
        <v/>
      </c>
      <c r="G260" s="18" t="n"/>
      <c r="H260" s="18">
        <f>IF(A260="","",YEAR(A260))</f>
        <v/>
      </c>
      <c r="I260" s="18">
        <f>IF(A260="","",MONTH(A260))</f>
        <v/>
      </c>
    </row>
    <row r="261">
      <c r="A261" s="18" t="n"/>
      <c r="B261" s="18" t="n"/>
      <c r="C261" s="18" t="n"/>
      <c r="D261" s="18" t="n"/>
      <c r="E261" s="20" t="n"/>
      <c r="F261" s="20">
        <f>IF(OR(D261="",E261=""),"",D261*E261)</f>
        <v/>
      </c>
      <c r="G261" s="18" t="n"/>
      <c r="H261" s="18">
        <f>IF(A261="","",YEAR(A261))</f>
        <v/>
      </c>
      <c r="I261" s="18">
        <f>IF(A261="","",MONTH(A261))</f>
        <v/>
      </c>
    </row>
    <row r="262">
      <c r="A262" s="18" t="n"/>
      <c r="B262" s="18" t="n"/>
      <c r="C262" s="18" t="n"/>
      <c r="D262" s="18" t="n"/>
      <c r="E262" s="20" t="n"/>
      <c r="F262" s="20">
        <f>IF(OR(D262="",E262=""),"",D262*E262)</f>
        <v/>
      </c>
      <c r="G262" s="18" t="n"/>
      <c r="H262" s="18">
        <f>IF(A262="","",YEAR(A262))</f>
        <v/>
      </c>
      <c r="I262" s="18">
        <f>IF(A262="","",MONTH(A262))</f>
        <v/>
      </c>
    </row>
    <row r="263">
      <c r="A263" s="18" t="n"/>
      <c r="B263" s="18" t="n"/>
      <c r="C263" s="18" t="n"/>
      <c r="D263" s="18" t="n"/>
      <c r="E263" s="20" t="n"/>
      <c r="F263" s="20">
        <f>IF(OR(D263="",E263=""),"",D263*E263)</f>
        <v/>
      </c>
      <c r="G263" s="18" t="n"/>
      <c r="H263" s="18">
        <f>IF(A263="","",YEAR(A263))</f>
        <v/>
      </c>
      <c r="I263" s="18">
        <f>IF(A263="","",MONTH(A263))</f>
        <v/>
      </c>
    </row>
    <row r="264">
      <c r="A264" s="18" t="n"/>
      <c r="B264" s="18" t="n"/>
      <c r="C264" s="18" t="n"/>
      <c r="D264" s="18" t="n"/>
      <c r="E264" s="20" t="n"/>
      <c r="F264" s="20">
        <f>IF(OR(D264="",E264=""),"",D264*E264)</f>
        <v/>
      </c>
      <c r="G264" s="18" t="n"/>
      <c r="H264" s="18">
        <f>IF(A264="","",YEAR(A264))</f>
        <v/>
      </c>
      <c r="I264" s="18">
        <f>IF(A264="","",MONTH(A264))</f>
        <v/>
      </c>
    </row>
    <row r="265">
      <c r="A265" s="18" t="n"/>
      <c r="B265" s="18" t="n"/>
      <c r="C265" s="18" t="n"/>
      <c r="D265" s="18" t="n"/>
      <c r="E265" s="20" t="n"/>
      <c r="F265" s="20">
        <f>IF(OR(D265="",E265=""),"",D265*E265)</f>
        <v/>
      </c>
      <c r="G265" s="18" t="n"/>
      <c r="H265" s="18">
        <f>IF(A265="","",YEAR(A265))</f>
        <v/>
      </c>
      <c r="I265" s="18">
        <f>IF(A265="","",MONTH(A265))</f>
        <v/>
      </c>
    </row>
    <row r="266">
      <c r="A266" s="18" t="n"/>
      <c r="B266" s="18" t="n"/>
      <c r="C266" s="18" t="n"/>
      <c r="D266" s="18" t="n"/>
      <c r="E266" s="20" t="n"/>
      <c r="F266" s="20">
        <f>IF(OR(D266="",E266=""),"",D266*E266)</f>
        <v/>
      </c>
      <c r="G266" s="18" t="n"/>
      <c r="H266" s="18">
        <f>IF(A266="","",YEAR(A266))</f>
        <v/>
      </c>
      <c r="I266" s="18">
        <f>IF(A266="","",MONTH(A266))</f>
        <v/>
      </c>
    </row>
    <row r="267">
      <c r="A267" s="18" t="n"/>
      <c r="B267" s="18" t="n"/>
      <c r="C267" s="18" t="n"/>
      <c r="D267" s="18" t="n"/>
      <c r="E267" s="20" t="n"/>
      <c r="F267" s="20">
        <f>IF(OR(D267="",E267=""),"",D267*E267)</f>
        <v/>
      </c>
      <c r="G267" s="18" t="n"/>
      <c r="H267" s="18">
        <f>IF(A267="","",YEAR(A267))</f>
        <v/>
      </c>
      <c r="I267" s="18">
        <f>IF(A267="","",MONTH(A267))</f>
        <v/>
      </c>
    </row>
    <row r="268">
      <c r="A268" s="18" t="n"/>
      <c r="B268" s="18" t="n"/>
      <c r="C268" s="18" t="n"/>
      <c r="D268" s="18" t="n"/>
      <c r="E268" s="20" t="n"/>
      <c r="F268" s="20">
        <f>IF(OR(D268="",E268=""),"",D268*E268)</f>
        <v/>
      </c>
      <c r="G268" s="18" t="n"/>
      <c r="H268" s="18">
        <f>IF(A268="","",YEAR(A268))</f>
        <v/>
      </c>
      <c r="I268" s="18">
        <f>IF(A268="","",MONTH(A268))</f>
        <v/>
      </c>
    </row>
    <row r="269">
      <c r="A269" s="18" t="n"/>
      <c r="B269" s="18" t="n"/>
      <c r="C269" s="18" t="n"/>
      <c r="D269" s="18" t="n"/>
      <c r="E269" s="20" t="n"/>
      <c r="F269" s="20">
        <f>IF(OR(D269="",E269=""),"",D269*E269)</f>
        <v/>
      </c>
      <c r="G269" s="18" t="n"/>
      <c r="H269" s="18">
        <f>IF(A269="","",YEAR(A269))</f>
        <v/>
      </c>
      <c r="I269" s="18">
        <f>IF(A269="","",MONTH(A269))</f>
        <v/>
      </c>
    </row>
    <row r="270">
      <c r="A270" s="18" t="n"/>
      <c r="B270" s="18" t="n"/>
      <c r="C270" s="18" t="n"/>
      <c r="D270" s="18" t="n"/>
      <c r="E270" s="20" t="n"/>
      <c r="F270" s="20">
        <f>IF(OR(D270="",E270=""),"",D270*E270)</f>
        <v/>
      </c>
      <c r="G270" s="18" t="n"/>
      <c r="H270" s="18">
        <f>IF(A270="","",YEAR(A270))</f>
        <v/>
      </c>
      <c r="I270" s="18">
        <f>IF(A270="","",MONTH(A270))</f>
        <v/>
      </c>
    </row>
    <row r="271">
      <c r="A271" s="18" t="n"/>
      <c r="B271" s="18" t="n"/>
      <c r="C271" s="18" t="n"/>
      <c r="D271" s="18" t="n"/>
      <c r="E271" s="20" t="n"/>
      <c r="F271" s="20">
        <f>IF(OR(D271="",E271=""),"",D271*E271)</f>
        <v/>
      </c>
      <c r="G271" s="18" t="n"/>
      <c r="H271" s="18">
        <f>IF(A271="","",YEAR(A271))</f>
        <v/>
      </c>
      <c r="I271" s="18">
        <f>IF(A271="","",MONTH(A271))</f>
        <v/>
      </c>
    </row>
    <row r="272">
      <c r="A272" s="18" t="n"/>
      <c r="B272" s="18" t="n"/>
      <c r="C272" s="18" t="n"/>
      <c r="D272" s="18" t="n"/>
      <c r="E272" s="20" t="n"/>
      <c r="F272" s="20">
        <f>IF(OR(D272="",E272=""),"",D272*E272)</f>
        <v/>
      </c>
      <c r="G272" s="18" t="n"/>
      <c r="H272" s="18">
        <f>IF(A272="","",YEAR(A272))</f>
        <v/>
      </c>
      <c r="I272" s="18">
        <f>IF(A272="","",MONTH(A272))</f>
        <v/>
      </c>
    </row>
    <row r="273">
      <c r="A273" s="18" t="n"/>
      <c r="B273" s="18" t="n"/>
      <c r="C273" s="18" t="n"/>
      <c r="D273" s="18" t="n"/>
      <c r="E273" s="20" t="n"/>
      <c r="F273" s="20">
        <f>IF(OR(D273="",E273=""),"",D273*E273)</f>
        <v/>
      </c>
      <c r="G273" s="18" t="n"/>
      <c r="H273" s="18">
        <f>IF(A273="","",YEAR(A273))</f>
        <v/>
      </c>
      <c r="I273" s="18">
        <f>IF(A273="","",MONTH(A273))</f>
        <v/>
      </c>
    </row>
    <row r="274">
      <c r="A274" s="18" t="n"/>
      <c r="B274" s="18" t="n"/>
      <c r="C274" s="18" t="n"/>
      <c r="D274" s="18" t="n"/>
      <c r="E274" s="20" t="n"/>
      <c r="F274" s="20">
        <f>IF(OR(D274="",E274=""),"",D274*E274)</f>
        <v/>
      </c>
      <c r="G274" s="18" t="n"/>
      <c r="H274" s="18">
        <f>IF(A274="","",YEAR(A274))</f>
        <v/>
      </c>
      <c r="I274" s="18">
        <f>IF(A274="","",MONTH(A274))</f>
        <v/>
      </c>
    </row>
    <row r="275">
      <c r="A275" s="18" t="n"/>
      <c r="B275" s="18" t="n"/>
      <c r="C275" s="18" t="n"/>
      <c r="D275" s="18" t="n"/>
      <c r="E275" s="20" t="n"/>
      <c r="F275" s="20">
        <f>IF(OR(D275="",E275=""),"",D275*E275)</f>
        <v/>
      </c>
      <c r="G275" s="18" t="n"/>
      <c r="H275" s="18">
        <f>IF(A275="","",YEAR(A275))</f>
        <v/>
      </c>
      <c r="I275" s="18">
        <f>IF(A275="","",MONTH(A275))</f>
        <v/>
      </c>
    </row>
    <row r="276">
      <c r="A276" s="18" t="n"/>
      <c r="B276" s="18" t="n"/>
      <c r="C276" s="18" t="n"/>
      <c r="D276" s="18" t="n"/>
      <c r="E276" s="20" t="n"/>
      <c r="F276" s="20">
        <f>IF(OR(D276="",E276=""),"",D276*E276)</f>
        <v/>
      </c>
      <c r="G276" s="18" t="n"/>
      <c r="H276" s="18">
        <f>IF(A276="","",YEAR(A276))</f>
        <v/>
      </c>
      <c r="I276" s="18">
        <f>IF(A276="","",MONTH(A276))</f>
        <v/>
      </c>
    </row>
    <row r="277">
      <c r="A277" s="18" t="n"/>
      <c r="B277" s="18" t="n"/>
      <c r="C277" s="18" t="n"/>
      <c r="D277" s="18" t="n"/>
      <c r="E277" s="20" t="n"/>
      <c r="F277" s="20">
        <f>IF(OR(D277="",E277=""),"",D277*E277)</f>
        <v/>
      </c>
      <c r="G277" s="18" t="n"/>
      <c r="H277" s="18">
        <f>IF(A277="","",YEAR(A277))</f>
        <v/>
      </c>
      <c r="I277" s="18">
        <f>IF(A277="","",MONTH(A277))</f>
        <v/>
      </c>
    </row>
    <row r="278">
      <c r="A278" s="18" t="n"/>
      <c r="B278" s="18" t="n"/>
      <c r="C278" s="18" t="n"/>
      <c r="D278" s="18" t="n"/>
      <c r="E278" s="20" t="n"/>
      <c r="F278" s="20">
        <f>IF(OR(D278="",E278=""),"",D278*E278)</f>
        <v/>
      </c>
      <c r="G278" s="18" t="n"/>
      <c r="H278" s="18">
        <f>IF(A278="","",YEAR(A278))</f>
        <v/>
      </c>
      <c r="I278" s="18">
        <f>IF(A278="","",MONTH(A278))</f>
        <v/>
      </c>
    </row>
    <row r="279">
      <c r="A279" s="18" t="n"/>
      <c r="B279" s="18" t="n"/>
      <c r="C279" s="18" t="n"/>
      <c r="D279" s="18" t="n"/>
      <c r="E279" s="20" t="n"/>
      <c r="F279" s="20">
        <f>IF(OR(D279="",E279=""),"",D279*E279)</f>
        <v/>
      </c>
      <c r="G279" s="18" t="n"/>
      <c r="H279" s="18">
        <f>IF(A279="","",YEAR(A279))</f>
        <v/>
      </c>
      <c r="I279" s="18">
        <f>IF(A279="","",MONTH(A279))</f>
        <v/>
      </c>
    </row>
    <row r="280">
      <c r="A280" s="18" t="n"/>
      <c r="B280" s="18" t="n"/>
      <c r="C280" s="18" t="n"/>
      <c r="D280" s="18" t="n"/>
      <c r="E280" s="20" t="n"/>
      <c r="F280" s="20">
        <f>IF(OR(D280="",E280=""),"",D280*E280)</f>
        <v/>
      </c>
      <c r="G280" s="18" t="n"/>
      <c r="H280" s="18">
        <f>IF(A280="","",YEAR(A280))</f>
        <v/>
      </c>
      <c r="I280" s="18">
        <f>IF(A280="","",MONTH(A280))</f>
        <v/>
      </c>
    </row>
    <row r="281">
      <c r="A281" s="18" t="n"/>
      <c r="B281" s="18" t="n"/>
      <c r="C281" s="18" t="n"/>
      <c r="D281" s="18" t="n"/>
      <c r="E281" s="20" t="n"/>
      <c r="F281" s="20">
        <f>IF(OR(D281="",E281=""),"",D281*E281)</f>
        <v/>
      </c>
      <c r="G281" s="18" t="n"/>
      <c r="H281" s="18">
        <f>IF(A281="","",YEAR(A281))</f>
        <v/>
      </c>
      <c r="I281" s="18">
        <f>IF(A281="","",MONTH(A281))</f>
        <v/>
      </c>
    </row>
    <row r="282">
      <c r="A282" s="18" t="n"/>
      <c r="B282" s="18" t="n"/>
      <c r="C282" s="18" t="n"/>
      <c r="D282" s="18" t="n"/>
      <c r="E282" s="20" t="n"/>
      <c r="F282" s="20">
        <f>IF(OR(D282="",E282=""),"",D282*E282)</f>
        <v/>
      </c>
      <c r="G282" s="18" t="n"/>
      <c r="H282" s="18">
        <f>IF(A282="","",YEAR(A282))</f>
        <v/>
      </c>
      <c r="I282" s="18">
        <f>IF(A282="","",MONTH(A282))</f>
        <v/>
      </c>
    </row>
    <row r="283">
      <c r="A283" s="18" t="n"/>
      <c r="B283" s="18" t="n"/>
      <c r="C283" s="18" t="n"/>
      <c r="D283" s="18" t="n"/>
      <c r="E283" s="20" t="n"/>
      <c r="F283" s="20">
        <f>IF(OR(D283="",E283=""),"",D283*E283)</f>
        <v/>
      </c>
      <c r="G283" s="18" t="n"/>
      <c r="H283" s="18">
        <f>IF(A283="","",YEAR(A283))</f>
        <v/>
      </c>
      <c r="I283" s="18">
        <f>IF(A283="","",MONTH(A283))</f>
        <v/>
      </c>
    </row>
    <row r="284">
      <c r="A284" s="18" t="n"/>
      <c r="B284" s="18" t="n"/>
      <c r="C284" s="18" t="n"/>
      <c r="D284" s="18" t="n"/>
      <c r="E284" s="20" t="n"/>
      <c r="F284" s="20">
        <f>IF(OR(D284="",E284=""),"",D284*E284)</f>
        <v/>
      </c>
      <c r="G284" s="18" t="n"/>
      <c r="H284" s="18">
        <f>IF(A284="","",YEAR(A284))</f>
        <v/>
      </c>
      <c r="I284" s="18">
        <f>IF(A284="","",MONTH(A284))</f>
        <v/>
      </c>
    </row>
    <row r="285">
      <c r="A285" s="18" t="n"/>
      <c r="B285" s="18" t="n"/>
      <c r="C285" s="18" t="n"/>
      <c r="D285" s="18" t="n"/>
      <c r="E285" s="20" t="n"/>
      <c r="F285" s="20">
        <f>IF(OR(D285="",E285=""),"",D285*E285)</f>
        <v/>
      </c>
      <c r="G285" s="18" t="n"/>
      <c r="H285" s="18">
        <f>IF(A285="","",YEAR(A285))</f>
        <v/>
      </c>
      <c r="I285" s="18">
        <f>IF(A285="","",MONTH(A285))</f>
        <v/>
      </c>
    </row>
    <row r="286">
      <c r="A286" s="18" t="n"/>
      <c r="B286" s="18" t="n"/>
      <c r="C286" s="18" t="n"/>
      <c r="D286" s="18" t="n"/>
      <c r="E286" s="20" t="n"/>
      <c r="F286" s="20">
        <f>IF(OR(D286="",E286=""),"",D286*E286)</f>
        <v/>
      </c>
      <c r="G286" s="18" t="n"/>
      <c r="H286" s="18">
        <f>IF(A286="","",YEAR(A286))</f>
        <v/>
      </c>
      <c r="I286" s="18">
        <f>IF(A286="","",MONTH(A286))</f>
        <v/>
      </c>
    </row>
    <row r="287">
      <c r="A287" s="18" t="n"/>
      <c r="B287" s="18" t="n"/>
      <c r="C287" s="18" t="n"/>
      <c r="D287" s="18" t="n"/>
      <c r="E287" s="20" t="n"/>
      <c r="F287" s="20">
        <f>IF(OR(D287="",E287=""),"",D287*E287)</f>
        <v/>
      </c>
      <c r="G287" s="18" t="n"/>
      <c r="H287" s="18">
        <f>IF(A287="","",YEAR(A287))</f>
        <v/>
      </c>
      <c r="I287" s="18">
        <f>IF(A287="","",MONTH(A287))</f>
        <v/>
      </c>
    </row>
    <row r="288">
      <c r="A288" s="18" t="n"/>
      <c r="B288" s="18" t="n"/>
      <c r="C288" s="18" t="n"/>
      <c r="D288" s="18" t="n"/>
      <c r="E288" s="20" t="n"/>
      <c r="F288" s="20">
        <f>IF(OR(D288="",E288=""),"",D288*E288)</f>
        <v/>
      </c>
      <c r="G288" s="18" t="n"/>
      <c r="H288" s="18">
        <f>IF(A288="","",YEAR(A288))</f>
        <v/>
      </c>
      <c r="I288" s="18">
        <f>IF(A288="","",MONTH(A288))</f>
        <v/>
      </c>
    </row>
    <row r="289">
      <c r="A289" s="18" t="n"/>
      <c r="B289" s="18" t="n"/>
      <c r="C289" s="18" t="n"/>
      <c r="D289" s="18" t="n"/>
      <c r="E289" s="20" t="n"/>
      <c r="F289" s="20">
        <f>IF(OR(D289="",E289=""),"",D289*E289)</f>
        <v/>
      </c>
      <c r="G289" s="18" t="n"/>
      <c r="H289" s="18">
        <f>IF(A289="","",YEAR(A289))</f>
        <v/>
      </c>
      <c r="I289" s="18">
        <f>IF(A289="","",MONTH(A289))</f>
        <v/>
      </c>
    </row>
    <row r="290">
      <c r="A290" s="18" t="n"/>
      <c r="B290" s="18" t="n"/>
      <c r="C290" s="18" t="n"/>
      <c r="D290" s="18" t="n"/>
      <c r="E290" s="20" t="n"/>
      <c r="F290" s="20">
        <f>IF(OR(D290="",E290=""),"",D290*E290)</f>
        <v/>
      </c>
      <c r="G290" s="18" t="n"/>
      <c r="H290" s="18">
        <f>IF(A290="","",YEAR(A290))</f>
        <v/>
      </c>
      <c r="I290" s="18">
        <f>IF(A290="","",MONTH(A290))</f>
        <v/>
      </c>
    </row>
    <row r="291">
      <c r="A291" s="18" t="n"/>
      <c r="B291" s="18" t="n"/>
      <c r="C291" s="18" t="n"/>
      <c r="D291" s="18" t="n"/>
      <c r="E291" s="20" t="n"/>
      <c r="F291" s="20">
        <f>IF(OR(D291="",E291=""),"",D291*E291)</f>
        <v/>
      </c>
      <c r="G291" s="18" t="n"/>
      <c r="H291" s="18">
        <f>IF(A291="","",YEAR(A291))</f>
        <v/>
      </c>
      <c r="I291" s="18">
        <f>IF(A291="","",MONTH(A291))</f>
        <v/>
      </c>
    </row>
    <row r="292">
      <c r="A292" s="18" t="n"/>
      <c r="B292" s="18" t="n"/>
      <c r="C292" s="18" t="n"/>
      <c r="D292" s="18" t="n"/>
      <c r="E292" s="20" t="n"/>
      <c r="F292" s="20">
        <f>IF(OR(D292="",E292=""),"",D292*E292)</f>
        <v/>
      </c>
      <c r="G292" s="18" t="n"/>
      <c r="H292" s="18">
        <f>IF(A292="","",YEAR(A292))</f>
        <v/>
      </c>
      <c r="I292" s="18">
        <f>IF(A292="","",MONTH(A292))</f>
        <v/>
      </c>
    </row>
    <row r="293">
      <c r="A293" s="18" t="n"/>
      <c r="B293" s="18" t="n"/>
      <c r="C293" s="18" t="n"/>
      <c r="D293" s="18" t="n"/>
      <c r="E293" s="20" t="n"/>
      <c r="F293" s="20">
        <f>IF(OR(D293="",E293=""),"",D293*E293)</f>
        <v/>
      </c>
      <c r="G293" s="18" t="n"/>
      <c r="H293" s="18">
        <f>IF(A293="","",YEAR(A293))</f>
        <v/>
      </c>
      <c r="I293" s="18">
        <f>IF(A293="","",MONTH(A293))</f>
        <v/>
      </c>
    </row>
    <row r="294">
      <c r="A294" s="18" t="n"/>
      <c r="B294" s="18" t="n"/>
      <c r="C294" s="18" t="n"/>
      <c r="D294" s="18" t="n"/>
      <c r="E294" s="20" t="n"/>
      <c r="F294" s="20">
        <f>IF(OR(D294="",E294=""),"",D294*E294)</f>
        <v/>
      </c>
      <c r="G294" s="18" t="n"/>
      <c r="H294" s="18">
        <f>IF(A294="","",YEAR(A294))</f>
        <v/>
      </c>
      <c r="I294" s="18">
        <f>IF(A294="","",MONTH(A294))</f>
        <v/>
      </c>
    </row>
    <row r="295">
      <c r="A295" s="18" t="n"/>
      <c r="B295" s="18" t="n"/>
      <c r="C295" s="18" t="n"/>
      <c r="D295" s="18" t="n"/>
      <c r="E295" s="20" t="n"/>
      <c r="F295" s="20">
        <f>IF(OR(D295="",E295=""),"",D295*E295)</f>
        <v/>
      </c>
      <c r="G295" s="18" t="n"/>
      <c r="H295" s="18">
        <f>IF(A295="","",YEAR(A295))</f>
        <v/>
      </c>
      <c r="I295" s="18">
        <f>IF(A295="","",MONTH(A295))</f>
        <v/>
      </c>
    </row>
    <row r="296">
      <c r="A296" s="18" t="n"/>
      <c r="B296" s="18" t="n"/>
      <c r="C296" s="18" t="n"/>
      <c r="D296" s="18" t="n"/>
      <c r="E296" s="20" t="n"/>
      <c r="F296" s="20">
        <f>IF(OR(D296="",E296=""),"",D296*E296)</f>
        <v/>
      </c>
      <c r="G296" s="18" t="n"/>
      <c r="H296" s="18">
        <f>IF(A296="","",YEAR(A296))</f>
        <v/>
      </c>
      <c r="I296" s="18">
        <f>IF(A296="","",MONTH(A296))</f>
        <v/>
      </c>
    </row>
    <row r="297">
      <c r="A297" s="18" t="n"/>
      <c r="B297" s="18" t="n"/>
      <c r="C297" s="18" t="n"/>
      <c r="D297" s="18" t="n"/>
      <c r="E297" s="20" t="n"/>
      <c r="F297" s="20">
        <f>IF(OR(D297="",E297=""),"",D297*E297)</f>
        <v/>
      </c>
      <c r="G297" s="18" t="n"/>
      <c r="H297" s="18">
        <f>IF(A297="","",YEAR(A297))</f>
        <v/>
      </c>
      <c r="I297" s="18">
        <f>IF(A297="","",MONTH(A297))</f>
        <v/>
      </c>
    </row>
    <row r="298">
      <c r="A298" s="18" t="n"/>
      <c r="B298" s="18" t="n"/>
      <c r="C298" s="18" t="n"/>
      <c r="D298" s="18" t="n"/>
      <c r="E298" s="20" t="n"/>
      <c r="F298" s="20">
        <f>IF(OR(D298="",E298=""),"",D298*E298)</f>
        <v/>
      </c>
      <c r="G298" s="18" t="n"/>
      <c r="H298" s="18">
        <f>IF(A298="","",YEAR(A298))</f>
        <v/>
      </c>
      <c r="I298" s="18">
        <f>IF(A298="","",MONTH(A298))</f>
        <v/>
      </c>
    </row>
    <row r="299">
      <c r="A299" s="18" t="n"/>
      <c r="B299" s="18" t="n"/>
      <c r="C299" s="18" t="n"/>
      <c r="D299" s="18" t="n"/>
      <c r="E299" s="20" t="n"/>
      <c r="F299" s="20">
        <f>IF(OR(D299="",E299=""),"",D299*E299)</f>
        <v/>
      </c>
      <c r="G299" s="18" t="n"/>
      <c r="H299" s="18">
        <f>IF(A299="","",YEAR(A299))</f>
        <v/>
      </c>
      <c r="I299" s="18">
        <f>IF(A299="","",MONTH(A299))</f>
        <v/>
      </c>
    </row>
    <row r="300">
      <c r="A300" s="18" t="n"/>
      <c r="B300" s="18" t="n"/>
      <c r="C300" s="18" t="n"/>
      <c r="D300" s="18" t="n"/>
      <c r="E300" s="20" t="n"/>
      <c r="F300" s="20">
        <f>IF(OR(D300="",E300=""),"",D300*E300)</f>
        <v/>
      </c>
      <c r="G300" s="18" t="n"/>
      <c r="H300" s="18">
        <f>IF(A300="","",YEAR(A300))</f>
        <v/>
      </c>
      <c r="I300" s="18">
        <f>IF(A300="","",MONTH(A300))</f>
        <v/>
      </c>
    </row>
    <row r="301">
      <c r="A301" s="18" t="n"/>
      <c r="B301" s="18" t="n"/>
      <c r="C301" s="18" t="n"/>
      <c r="D301" s="18" t="n"/>
      <c r="E301" s="20" t="n"/>
      <c r="F301" s="20">
        <f>IF(OR(D301="",E301=""),"",D301*E301)</f>
        <v/>
      </c>
      <c r="G301" s="18" t="n"/>
      <c r="H301" s="18">
        <f>IF(A301="","",YEAR(A301))</f>
        <v/>
      </c>
      <c r="I301" s="18">
        <f>IF(A301="","",MONTH(A301))</f>
        <v/>
      </c>
    </row>
    <row r="302">
      <c r="A302" s="18" t="n"/>
      <c r="B302" s="18" t="n"/>
      <c r="C302" s="18" t="n"/>
      <c r="D302" s="18" t="n"/>
      <c r="E302" s="20" t="n"/>
      <c r="F302" s="20">
        <f>IF(OR(D302="",E302=""),"",D302*E302)</f>
        <v/>
      </c>
      <c r="G302" s="18" t="n"/>
      <c r="H302" s="18">
        <f>IF(A302="","",YEAR(A302))</f>
        <v/>
      </c>
      <c r="I302" s="18">
        <f>IF(A302="","",MONTH(A302))</f>
        <v/>
      </c>
    </row>
    <row r="303">
      <c r="A303" s="18" t="n"/>
      <c r="B303" s="18" t="n"/>
      <c r="C303" s="18" t="n"/>
      <c r="D303" s="18" t="n"/>
      <c r="E303" s="20" t="n"/>
      <c r="F303" s="20">
        <f>IF(OR(D303="",E303=""),"",D303*E303)</f>
        <v/>
      </c>
      <c r="G303" s="18" t="n"/>
      <c r="H303" s="18">
        <f>IF(A303="","",YEAR(A303))</f>
        <v/>
      </c>
      <c r="I303" s="18">
        <f>IF(A303="","",MONTH(A303))</f>
        <v/>
      </c>
    </row>
    <row r="304">
      <c r="A304" s="18" t="n"/>
      <c r="B304" s="18" t="n"/>
      <c r="C304" s="18" t="n"/>
      <c r="D304" s="18" t="n"/>
      <c r="E304" s="20" t="n"/>
      <c r="F304" s="20">
        <f>IF(OR(D304="",E304=""),"",D304*E304)</f>
        <v/>
      </c>
      <c r="G304" s="18" t="n"/>
      <c r="H304" s="18">
        <f>IF(A304="","",YEAR(A304))</f>
        <v/>
      </c>
      <c r="I304" s="18">
        <f>IF(A304="","",MONTH(A304))</f>
        <v/>
      </c>
    </row>
  </sheetData>
  <autoFilter ref="A4:I304"/>
  <mergeCells count="1">
    <mergeCell ref="A1:I1"/>
  </mergeCells>
  <dataValidations count="1">
    <dataValidation sqref="B5:B304" showDropDown="0" showInputMessage="0" showErrorMessage="0" allowBlank="1" type="list">
      <formula1>=AUXILIAR!$A$2:$A$8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0" customWidth="1" min="4" max="4"/>
    <col width="14" customWidth="1" min="5" max="5"/>
    <col width="20" customWidth="1" min="6" max="6"/>
    <col width="16" customWidth="1" min="7" max="7"/>
    <col width="18" customWidth="1" min="8" max="8"/>
    <col width="18" customWidth="1" min="9" max="9"/>
    <col width="16" customWidth="1" min="10" max="10"/>
    <col width="16" customWidth="1" min="11" max="11"/>
    <col width="18" customWidth="1" min="12" max="12"/>
  </cols>
  <sheetData>
    <row r="1" ht="30" customHeight="1">
      <c r="A1" s="1" t="inlineStr">
        <is>
          <t>Carteira</t>
        </is>
      </c>
    </row>
    <row r="2"/>
    <row r="3"/>
    <row r="4">
      <c r="A4" s="12" t="inlineStr">
        <is>
          <t>Ticker</t>
        </is>
      </c>
      <c r="B4" s="12" t="inlineStr">
        <is>
          <t>Nome</t>
        </is>
      </c>
      <c r="C4" s="12" t="inlineStr">
        <is>
          <t>Tipo</t>
        </is>
      </c>
      <c r="D4" s="12" t="inlineStr">
        <is>
          <t>Segmento</t>
        </is>
      </c>
      <c r="E4" s="12" t="inlineStr">
        <is>
          <t>Quantidade</t>
        </is>
      </c>
      <c r="F4" s="12" t="inlineStr">
        <is>
          <t>Preço Médio Compra</t>
        </is>
      </c>
      <c r="G4" s="12" t="inlineStr">
        <is>
          <t>Preço Atual</t>
        </is>
      </c>
      <c r="H4" s="12" t="inlineStr">
        <is>
          <t>Valor Investido</t>
        </is>
      </c>
      <c r="I4" s="12" t="inlineStr">
        <is>
          <t>Valor Atual</t>
        </is>
      </c>
      <c r="J4" s="12" t="inlineStr">
        <is>
          <t>Resultado</t>
        </is>
      </c>
      <c r="K4" s="12" t="inlineStr">
        <is>
          <t>Rentabilidade</t>
        </is>
      </c>
      <c r="L4" s="12" t="inlineStr">
        <is>
          <t>Dividendos</t>
        </is>
      </c>
    </row>
    <row r="5">
      <c r="A5" s="18" t="n"/>
      <c r="B5" s="18">
        <f>IFERROR(VLOOKUP(A5,ATIVOS!$A$5:$H$54,2,FALSE),"")</f>
        <v/>
      </c>
      <c r="C5" s="18">
        <f>IFERROR(VLOOKUP(A5,ATIVOS!$A$5:$H$54,3,FALSE),"")</f>
        <v/>
      </c>
      <c r="D5" s="18">
        <f>IFERROR(VLOOKUP(A5,ATIVOS!$A$5:$H$54,4,FALSE),"")</f>
        <v/>
      </c>
      <c r="E5" s="18">
        <f>IF(A5="","",SUMIFS(LANÇAMENTOS!$D$5:$D$304,LANÇAMENTOS!$C$5:$C$304,A5,LANÇAMENTOS!$B$5:$B$304,"Compra")-SUMIFS(LANÇAMENTOS!$D$5:$D$304,LANÇAMENTOS!$C$5:$C$304,A5,LANÇAMENTOS!$B$5:$B$304,"Venda"))</f>
        <v/>
      </c>
      <c r="F5" s="20">
        <f>IFERROR(SUMIFS(LANÇAMENTOS!$F$5:$F$304,LANÇAMENTOS!$C$5:$C$304,A5,LANÇAMENTOS!$B$5:$B$304,"Compra")/SUMIFS(LANÇAMENTOS!$D$5:$D$304,LANÇAMENTOS!$C$5:$C$304,A5,LANÇAMENTOS!$B$5:$B$304,"Compra"),0)</f>
        <v/>
      </c>
      <c r="G5" s="20">
        <f>IFERROR(VLOOKUP(A5,ATIVOS!$A$5:$H$54,7,FALSE),0)</f>
        <v/>
      </c>
      <c r="H5" s="20">
        <f>MAX(0,E5*F5)</f>
        <v/>
      </c>
      <c r="I5" s="20">
        <f>MAX(0,E5*G5)</f>
        <v/>
      </c>
      <c r="J5" s="20">
        <f>I5-H5</f>
        <v/>
      </c>
      <c r="K5" s="23">
        <f>IFERROR(J5/H5,0)</f>
        <v/>
      </c>
      <c r="L5" s="20">
        <f>SUMIFS(LANÇAMENTOS!$F$5:$F$304,LANÇAMENTOS!$C$5:$C$304,A5,LANÇAMENTOS!$B$5:$B$304,"Dividendos")</f>
        <v/>
      </c>
    </row>
    <row r="6">
      <c r="A6" s="18" t="n"/>
      <c r="B6" s="18">
        <f>IFERROR(VLOOKUP(A6,ATIVOS!$A$5:$H$54,2,FALSE),"")</f>
        <v/>
      </c>
      <c r="C6" s="18">
        <f>IFERROR(VLOOKUP(A6,ATIVOS!$A$5:$H$54,3,FALSE),"")</f>
        <v/>
      </c>
      <c r="D6" s="18">
        <f>IFERROR(VLOOKUP(A6,ATIVOS!$A$5:$H$54,4,FALSE),"")</f>
        <v/>
      </c>
      <c r="E6" s="18">
        <f>IF(A6="","",SUMIFS(LANÇAMENTOS!$D$5:$D$304,LANÇAMENTOS!$C$5:$C$304,A6,LANÇAMENTOS!$B$5:$B$304,"Compra")-SUMIFS(LANÇAMENTOS!$D$5:$D$304,LANÇAMENTOS!$C$5:$C$304,A6,LANÇAMENTOS!$B$5:$B$304,"Venda"))</f>
        <v/>
      </c>
      <c r="F6" s="20">
        <f>IFERROR(SUMIFS(LANÇAMENTOS!$F$5:$F$304,LANÇAMENTOS!$C$5:$C$304,A6,LANÇAMENTOS!$B$5:$B$304,"Compra")/SUMIFS(LANÇAMENTOS!$D$5:$D$304,LANÇAMENTOS!$C$5:$C$304,A6,LANÇAMENTOS!$B$5:$B$304,"Compra"),0)</f>
        <v/>
      </c>
      <c r="G6" s="20">
        <f>IFERROR(VLOOKUP(A6,ATIVOS!$A$5:$H$54,7,FALSE),0)</f>
        <v/>
      </c>
      <c r="H6" s="20">
        <f>MAX(0,E6*F6)</f>
        <v/>
      </c>
      <c r="I6" s="20">
        <f>MAX(0,E6*G6)</f>
        <v/>
      </c>
      <c r="J6" s="20">
        <f>I6-H6</f>
        <v/>
      </c>
      <c r="K6" s="23">
        <f>IFERROR(J6/H6,0)</f>
        <v/>
      </c>
      <c r="L6" s="20">
        <f>SUMIFS(LANÇAMENTOS!$F$5:$F$304,LANÇAMENTOS!$C$5:$C$304,A6,LANÇAMENTOS!$B$5:$B$304,"Dividendos")</f>
        <v/>
      </c>
    </row>
    <row r="7">
      <c r="A7" s="18" t="n"/>
      <c r="B7" s="18">
        <f>IFERROR(VLOOKUP(A7,ATIVOS!$A$5:$H$54,2,FALSE),"")</f>
        <v/>
      </c>
      <c r="C7" s="18">
        <f>IFERROR(VLOOKUP(A7,ATIVOS!$A$5:$H$54,3,FALSE),"")</f>
        <v/>
      </c>
      <c r="D7" s="18">
        <f>IFERROR(VLOOKUP(A7,ATIVOS!$A$5:$H$54,4,FALSE),"")</f>
        <v/>
      </c>
      <c r="E7" s="18">
        <f>IF(A7="","",SUMIFS(LANÇAMENTOS!$D$5:$D$304,LANÇAMENTOS!$C$5:$C$304,A7,LANÇAMENTOS!$B$5:$B$304,"Compra")-SUMIFS(LANÇAMENTOS!$D$5:$D$304,LANÇAMENTOS!$C$5:$C$304,A7,LANÇAMENTOS!$B$5:$B$304,"Venda"))</f>
        <v/>
      </c>
      <c r="F7" s="20">
        <f>IFERROR(SUMIFS(LANÇAMENTOS!$F$5:$F$304,LANÇAMENTOS!$C$5:$C$304,A7,LANÇAMENTOS!$B$5:$B$304,"Compra")/SUMIFS(LANÇAMENTOS!$D$5:$D$304,LANÇAMENTOS!$C$5:$C$304,A7,LANÇAMENTOS!$B$5:$B$304,"Compra"),0)</f>
        <v/>
      </c>
      <c r="G7" s="20">
        <f>IFERROR(VLOOKUP(A7,ATIVOS!$A$5:$H$54,7,FALSE),0)</f>
        <v/>
      </c>
      <c r="H7" s="20">
        <f>MAX(0,E7*F7)</f>
        <v/>
      </c>
      <c r="I7" s="20">
        <f>MAX(0,E7*G7)</f>
        <v/>
      </c>
      <c r="J7" s="20">
        <f>I7-H7</f>
        <v/>
      </c>
      <c r="K7" s="23">
        <f>IFERROR(J7/H7,0)</f>
        <v/>
      </c>
      <c r="L7" s="20">
        <f>SUMIFS(LANÇAMENTOS!$F$5:$F$304,LANÇAMENTOS!$C$5:$C$304,A7,LANÇAMENTOS!$B$5:$B$304,"Dividendos")</f>
        <v/>
      </c>
    </row>
    <row r="8">
      <c r="A8" s="18" t="n"/>
      <c r="B8" s="18">
        <f>IFERROR(VLOOKUP(A8,ATIVOS!$A$5:$H$54,2,FALSE),"")</f>
        <v/>
      </c>
      <c r="C8" s="18">
        <f>IFERROR(VLOOKUP(A8,ATIVOS!$A$5:$H$54,3,FALSE),"")</f>
        <v/>
      </c>
      <c r="D8" s="18">
        <f>IFERROR(VLOOKUP(A8,ATIVOS!$A$5:$H$54,4,FALSE),"")</f>
        <v/>
      </c>
      <c r="E8" s="18">
        <f>IF(A8="","",SUMIFS(LANÇAMENTOS!$D$5:$D$304,LANÇAMENTOS!$C$5:$C$304,A8,LANÇAMENTOS!$B$5:$B$304,"Compra")-SUMIFS(LANÇAMENTOS!$D$5:$D$304,LANÇAMENTOS!$C$5:$C$304,A8,LANÇAMENTOS!$B$5:$B$304,"Venda"))</f>
        <v/>
      </c>
      <c r="F8" s="20">
        <f>IFERROR(SUMIFS(LANÇAMENTOS!$F$5:$F$304,LANÇAMENTOS!$C$5:$C$304,A8,LANÇAMENTOS!$B$5:$B$304,"Compra")/SUMIFS(LANÇAMENTOS!$D$5:$D$304,LANÇAMENTOS!$C$5:$C$304,A8,LANÇAMENTOS!$B$5:$B$304,"Compra"),0)</f>
        <v/>
      </c>
      <c r="G8" s="20">
        <f>IFERROR(VLOOKUP(A8,ATIVOS!$A$5:$H$54,7,FALSE),0)</f>
        <v/>
      </c>
      <c r="H8" s="20">
        <f>MAX(0,E8*F8)</f>
        <v/>
      </c>
      <c r="I8" s="20">
        <f>MAX(0,E8*G8)</f>
        <v/>
      </c>
      <c r="J8" s="20">
        <f>I8-H8</f>
        <v/>
      </c>
      <c r="K8" s="23">
        <f>IFERROR(J8/H8,0)</f>
        <v/>
      </c>
      <c r="L8" s="20">
        <f>SUMIFS(LANÇAMENTOS!$F$5:$F$304,LANÇAMENTOS!$C$5:$C$304,A8,LANÇAMENTOS!$B$5:$B$304,"Dividendos")</f>
        <v/>
      </c>
    </row>
    <row r="9">
      <c r="A9" s="18" t="n"/>
      <c r="B9" s="18">
        <f>IFERROR(VLOOKUP(A9,ATIVOS!$A$5:$H$54,2,FALSE),"")</f>
        <v/>
      </c>
      <c r="C9" s="18">
        <f>IFERROR(VLOOKUP(A9,ATIVOS!$A$5:$H$54,3,FALSE),"")</f>
        <v/>
      </c>
      <c r="D9" s="18">
        <f>IFERROR(VLOOKUP(A9,ATIVOS!$A$5:$H$54,4,FALSE),"")</f>
        <v/>
      </c>
      <c r="E9" s="18">
        <f>IF(A9="","",SUMIFS(LANÇAMENTOS!$D$5:$D$304,LANÇAMENTOS!$C$5:$C$304,A9,LANÇAMENTOS!$B$5:$B$304,"Compra")-SUMIFS(LANÇAMENTOS!$D$5:$D$304,LANÇAMENTOS!$C$5:$C$304,A9,LANÇAMENTOS!$B$5:$B$304,"Venda"))</f>
        <v/>
      </c>
      <c r="F9" s="20">
        <f>IFERROR(SUMIFS(LANÇAMENTOS!$F$5:$F$304,LANÇAMENTOS!$C$5:$C$304,A9,LANÇAMENTOS!$B$5:$B$304,"Compra")/SUMIFS(LANÇAMENTOS!$D$5:$D$304,LANÇAMENTOS!$C$5:$C$304,A9,LANÇAMENTOS!$B$5:$B$304,"Compra"),0)</f>
        <v/>
      </c>
      <c r="G9" s="20">
        <f>IFERROR(VLOOKUP(A9,ATIVOS!$A$5:$H$54,7,FALSE),0)</f>
        <v/>
      </c>
      <c r="H9" s="20">
        <f>MAX(0,E9*F9)</f>
        <v/>
      </c>
      <c r="I9" s="20">
        <f>MAX(0,E9*G9)</f>
        <v/>
      </c>
      <c r="J9" s="20">
        <f>I9-H9</f>
        <v/>
      </c>
      <c r="K9" s="23">
        <f>IFERROR(J9/H9,0)</f>
        <v/>
      </c>
      <c r="L9" s="20">
        <f>SUMIFS(LANÇAMENTOS!$F$5:$F$304,LANÇAMENTOS!$C$5:$C$304,A9,LANÇAMENTOS!$B$5:$B$304,"Dividendos")</f>
        <v/>
      </c>
    </row>
    <row r="10">
      <c r="A10" s="18" t="n"/>
      <c r="B10" s="18">
        <f>IFERROR(VLOOKUP(A10,ATIVOS!$A$5:$H$54,2,FALSE),"")</f>
        <v/>
      </c>
      <c r="C10" s="18">
        <f>IFERROR(VLOOKUP(A10,ATIVOS!$A$5:$H$54,3,FALSE),"")</f>
        <v/>
      </c>
      <c r="D10" s="18">
        <f>IFERROR(VLOOKUP(A10,ATIVOS!$A$5:$H$54,4,FALSE),"")</f>
        <v/>
      </c>
      <c r="E10" s="18">
        <f>IF(A10="","",SUMIFS(LANÇAMENTOS!$D$5:$D$304,LANÇAMENTOS!$C$5:$C$304,A10,LANÇAMENTOS!$B$5:$B$304,"Compra")-SUMIFS(LANÇAMENTOS!$D$5:$D$304,LANÇAMENTOS!$C$5:$C$304,A10,LANÇAMENTOS!$B$5:$B$304,"Venda"))</f>
        <v/>
      </c>
      <c r="F10" s="20">
        <f>IFERROR(SUMIFS(LANÇAMENTOS!$F$5:$F$304,LANÇAMENTOS!$C$5:$C$304,A10,LANÇAMENTOS!$B$5:$B$304,"Compra")/SUMIFS(LANÇAMENTOS!$D$5:$D$304,LANÇAMENTOS!$C$5:$C$304,A10,LANÇAMENTOS!$B$5:$B$304,"Compra"),0)</f>
        <v/>
      </c>
      <c r="G10" s="20">
        <f>IFERROR(VLOOKUP(A10,ATIVOS!$A$5:$H$54,7,FALSE),0)</f>
        <v/>
      </c>
      <c r="H10" s="20">
        <f>MAX(0,E10*F10)</f>
        <v/>
      </c>
      <c r="I10" s="20">
        <f>MAX(0,E10*G10)</f>
        <v/>
      </c>
      <c r="J10" s="20">
        <f>I10-H10</f>
        <v/>
      </c>
      <c r="K10" s="23">
        <f>IFERROR(J10/H10,0)</f>
        <v/>
      </c>
      <c r="L10" s="20">
        <f>SUMIFS(LANÇAMENTOS!$F$5:$F$304,LANÇAMENTOS!$C$5:$C$304,A10,LANÇAMENTOS!$B$5:$B$304,"Dividendos")</f>
        <v/>
      </c>
    </row>
    <row r="11">
      <c r="A11" s="18" t="n"/>
      <c r="B11" s="18">
        <f>IFERROR(VLOOKUP(A11,ATIVOS!$A$5:$H$54,2,FALSE),"")</f>
        <v/>
      </c>
      <c r="C11" s="18">
        <f>IFERROR(VLOOKUP(A11,ATIVOS!$A$5:$H$54,3,FALSE),"")</f>
        <v/>
      </c>
      <c r="D11" s="18">
        <f>IFERROR(VLOOKUP(A11,ATIVOS!$A$5:$H$54,4,FALSE),"")</f>
        <v/>
      </c>
      <c r="E11" s="18">
        <f>IF(A11="","",SUMIFS(LANÇAMENTOS!$D$5:$D$304,LANÇAMENTOS!$C$5:$C$304,A11,LANÇAMENTOS!$B$5:$B$304,"Compra")-SUMIFS(LANÇAMENTOS!$D$5:$D$304,LANÇAMENTOS!$C$5:$C$304,A11,LANÇAMENTOS!$B$5:$B$304,"Venda"))</f>
        <v/>
      </c>
      <c r="F11" s="20">
        <f>IFERROR(SUMIFS(LANÇAMENTOS!$F$5:$F$304,LANÇAMENTOS!$C$5:$C$304,A11,LANÇAMENTOS!$B$5:$B$304,"Compra")/SUMIFS(LANÇAMENTOS!$D$5:$D$304,LANÇAMENTOS!$C$5:$C$304,A11,LANÇAMENTOS!$B$5:$B$304,"Compra"),0)</f>
        <v/>
      </c>
      <c r="G11" s="20">
        <f>IFERROR(VLOOKUP(A11,ATIVOS!$A$5:$H$54,7,FALSE),0)</f>
        <v/>
      </c>
      <c r="H11" s="20">
        <f>MAX(0,E11*F11)</f>
        <v/>
      </c>
      <c r="I11" s="20">
        <f>MAX(0,E11*G11)</f>
        <v/>
      </c>
      <c r="J11" s="20">
        <f>I11-H11</f>
        <v/>
      </c>
      <c r="K11" s="23">
        <f>IFERROR(J11/H11,0)</f>
        <v/>
      </c>
      <c r="L11" s="20">
        <f>SUMIFS(LANÇAMENTOS!$F$5:$F$304,LANÇAMENTOS!$C$5:$C$304,A11,LANÇAMENTOS!$B$5:$B$304,"Dividendos")</f>
        <v/>
      </c>
    </row>
    <row r="12">
      <c r="A12" s="18" t="n"/>
      <c r="B12" s="18">
        <f>IFERROR(VLOOKUP(A12,ATIVOS!$A$5:$H$54,2,FALSE),"")</f>
        <v/>
      </c>
      <c r="C12" s="18">
        <f>IFERROR(VLOOKUP(A12,ATIVOS!$A$5:$H$54,3,FALSE),"")</f>
        <v/>
      </c>
      <c r="D12" s="18">
        <f>IFERROR(VLOOKUP(A12,ATIVOS!$A$5:$H$54,4,FALSE),"")</f>
        <v/>
      </c>
      <c r="E12" s="18">
        <f>IF(A12="","",SUMIFS(LANÇAMENTOS!$D$5:$D$304,LANÇAMENTOS!$C$5:$C$304,A12,LANÇAMENTOS!$B$5:$B$304,"Compra")-SUMIFS(LANÇAMENTOS!$D$5:$D$304,LANÇAMENTOS!$C$5:$C$304,A12,LANÇAMENTOS!$B$5:$B$304,"Venda"))</f>
        <v/>
      </c>
      <c r="F12" s="20">
        <f>IFERROR(SUMIFS(LANÇAMENTOS!$F$5:$F$304,LANÇAMENTOS!$C$5:$C$304,A12,LANÇAMENTOS!$B$5:$B$304,"Compra")/SUMIFS(LANÇAMENTOS!$D$5:$D$304,LANÇAMENTOS!$C$5:$C$304,A12,LANÇAMENTOS!$B$5:$B$304,"Compra"),0)</f>
        <v/>
      </c>
      <c r="G12" s="20">
        <f>IFERROR(VLOOKUP(A12,ATIVOS!$A$5:$H$54,7,FALSE),0)</f>
        <v/>
      </c>
      <c r="H12" s="20">
        <f>MAX(0,E12*F12)</f>
        <v/>
      </c>
      <c r="I12" s="20">
        <f>MAX(0,E12*G12)</f>
        <v/>
      </c>
      <c r="J12" s="20">
        <f>I12-H12</f>
        <v/>
      </c>
      <c r="K12" s="23">
        <f>IFERROR(J12/H12,0)</f>
        <v/>
      </c>
      <c r="L12" s="20">
        <f>SUMIFS(LANÇAMENTOS!$F$5:$F$304,LANÇAMENTOS!$C$5:$C$304,A12,LANÇAMENTOS!$B$5:$B$304,"Dividendos")</f>
        <v/>
      </c>
    </row>
    <row r="13">
      <c r="A13" s="18" t="n"/>
      <c r="B13" s="18">
        <f>IFERROR(VLOOKUP(A13,ATIVOS!$A$5:$H$54,2,FALSE),"")</f>
        <v/>
      </c>
      <c r="C13" s="18">
        <f>IFERROR(VLOOKUP(A13,ATIVOS!$A$5:$H$54,3,FALSE),"")</f>
        <v/>
      </c>
      <c r="D13" s="18">
        <f>IFERROR(VLOOKUP(A13,ATIVOS!$A$5:$H$54,4,FALSE),"")</f>
        <v/>
      </c>
      <c r="E13" s="18">
        <f>IF(A13="","",SUMIFS(LANÇAMENTOS!$D$5:$D$304,LANÇAMENTOS!$C$5:$C$304,A13,LANÇAMENTOS!$B$5:$B$304,"Compra")-SUMIFS(LANÇAMENTOS!$D$5:$D$304,LANÇAMENTOS!$C$5:$C$304,A13,LANÇAMENTOS!$B$5:$B$304,"Venda"))</f>
        <v/>
      </c>
      <c r="F13" s="20">
        <f>IFERROR(SUMIFS(LANÇAMENTOS!$F$5:$F$304,LANÇAMENTOS!$C$5:$C$304,A13,LANÇAMENTOS!$B$5:$B$304,"Compra")/SUMIFS(LANÇAMENTOS!$D$5:$D$304,LANÇAMENTOS!$C$5:$C$304,A13,LANÇAMENTOS!$B$5:$B$304,"Compra"),0)</f>
        <v/>
      </c>
      <c r="G13" s="20">
        <f>IFERROR(VLOOKUP(A13,ATIVOS!$A$5:$H$54,7,FALSE),0)</f>
        <v/>
      </c>
      <c r="H13" s="20">
        <f>MAX(0,E13*F13)</f>
        <v/>
      </c>
      <c r="I13" s="20">
        <f>MAX(0,E13*G13)</f>
        <v/>
      </c>
      <c r="J13" s="20">
        <f>I13-H13</f>
        <v/>
      </c>
      <c r="K13" s="23">
        <f>IFERROR(J13/H13,0)</f>
        <v/>
      </c>
      <c r="L13" s="20">
        <f>SUMIFS(LANÇAMENTOS!$F$5:$F$304,LANÇAMENTOS!$C$5:$C$304,A13,LANÇAMENTOS!$B$5:$B$304,"Dividendos")</f>
        <v/>
      </c>
    </row>
    <row r="14">
      <c r="A14" s="18" t="n"/>
      <c r="B14" s="18">
        <f>IFERROR(VLOOKUP(A14,ATIVOS!$A$5:$H$54,2,FALSE),"")</f>
        <v/>
      </c>
      <c r="C14" s="18">
        <f>IFERROR(VLOOKUP(A14,ATIVOS!$A$5:$H$54,3,FALSE),"")</f>
        <v/>
      </c>
      <c r="D14" s="18">
        <f>IFERROR(VLOOKUP(A14,ATIVOS!$A$5:$H$54,4,FALSE),"")</f>
        <v/>
      </c>
      <c r="E14" s="18">
        <f>IF(A14="","",SUMIFS(LANÇAMENTOS!$D$5:$D$304,LANÇAMENTOS!$C$5:$C$304,A14,LANÇAMENTOS!$B$5:$B$304,"Compra")-SUMIFS(LANÇAMENTOS!$D$5:$D$304,LANÇAMENTOS!$C$5:$C$304,A14,LANÇAMENTOS!$B$5:$B$304,"Venda"))</f>
        <v/>
      </c>
      <c r="F14" s="20">
        <f>IFERROR(SUMIFS(LANÇAMENTOS!$F$5:$F$304,LANÇAMENTOS!$C$5:$C$304,A14,LANÇAMENTOS!$B$5:$B$304,"Compra")/SUMIFS(LANÇAMENTOS!$D$5:$D$304,LANÇAMENTOS!$C$5:$C$304,A14,LANÇAMENTOS!$B$5:$B$304,"Compra"),0)</f>
        <v/>
      </c>
      <c r="G14" s="20">
        <f>IFERROR(VLOOKUP(A14,ATIVOS!$A$5:$H$54,7,FALSE),0)</f>
        <v/>
      </c>
      <c r="H14" s="20">
        <f>MAX(0,E14*F14)</f>
        <v/>
      </c>
      <c r="I14" s="20">
        <f>MAX(0,E14*G14)</f>
        <v/>
      </c>
      <c r="J14" s="20">
        <f>I14-H14</f>
        <v/>
      </c>
      <c r="K14" s="23">
        <f>IFERROR(J14/H14,0)</f>
        <v/>
      </c>
      <c r="L14" s="20">
        <f>SUMIFS(LANÇAMENTOS!$F$5:$F$304,LANÇAMENTOS!$C$5:$C$304,A14,LANÇAMENTOS!$B$5:$B$304,"Dividendos")</f>
        <v/>
      </c>
    </row>
    <row r="15">
      <c r="A15" s="18" t="n"/>
      <c r="B15" s="18">
        <f>IFERROR(VLOOKUP(A15,ATIVOS!$A$5:$H$54,2,FALSE),"")</f>
        <v/>
      </c>
      <c r="C15" s="18">
        <f>IFERROR(VLOOKUP(A15,ATIVOS!$A$5:$H$54,3,FALSE),"")</f>
        <v/>
      </c>
      <c r="D15" s="18">
        <f>IFERROR(VLOOKUP(A15,ATIVOS!$A$5:$H$54,4,FALSE),"")</f>
        <v/>
      </c>
      <c r="E15" s="18">
        <f>IF(A15="","",SUMIFS(LANÇAMENTOS!$D$5:$D$304,LANÇAMENTOS!$C$5:$C$304,A15,LANÇAMENTOS!$B$5:$B$304,"Compra")-SUMIFS(LANÇAMENTOS!$D$5:$D$304,LANÇAMENTOS!$C$5:$C$304,A15,LANÇAMENTOS!$B$5:$B$304,"Venda"))</f>
        <v/>
      </c>
      <c r="F15" s="20">
        <f>IFERROR(SUMIFS(LANÇAMENTOS!$F$5:$F$304,LANÇAMENTOS!$C$5:$C$304,A15,LANÇAMENTOS!$B$5:$B$304,"Compra")/SUMIFS(LANÇAMENTOS!$D$5:$D$304,LANÇAMENTOS!$C$5:$C$304,A15,LANÇAMENTOS!$B$5:$B$304,"Compra"),0)</f>
        <v/>
      </c>
      <c r="G15" s="20">
        <f>IFERROR(VLOOKUP(A15,ATIVOS!$A$5:$H$54,7,FALSE),0)</f>
        <v/>
      </c>
      <c r="H15" s="20">
        <f>MAX(0,E15*F15)</f>
        <v/>
      </c>
      <c r="I15" s="20">
        <f>MAX(0,E15*G15)</f>
        <v/>
      </c>
      <c r="J15" s="20">
        <f>I15-H15</f>
        <v/>
      </c>
      <c r="K15" s="23">
        <f>IFERROR(J15/H15,0)</f>
        <v/>
      </c>
      <c r="L15" s="20">
        <f>SUMIFS(LANÇAMENTOS!$F$5:$F$304,LANÇAMENTOS!$C$5:$C$304,A15,LANÇAMENTOS!$B$5:$B$304,"Dividendos")</f>
        <v/>
      </c>
    </row>
    <row r="16">
      <c r="A16" s="18" t="n"/>
      <c r="B16" s="18">
        <f>IFERROR(VLOOKUP(A16,ATIVOS!$A$5:$H$54,2,FALSE),"")</f>
        <v/>
      </c>
      <c r="C16" s="18">
        <f>IFERROR(VLOOKUP(A16,ATIVOS!$A$5:$H$54,3,FALSE),"")</f>
        <v/>
      </c>
      <c r="D16" s="18">
        <f>IFERROR(VLOOKUP(A16,ATIVOS!$A$5:$H$54,4,FALSE),"")</f>
        <v/>
      </c>
      <c r="E16" s="18">
        <f>IF(A16="","",SUMIFS(LANÇAMENTOS!$D$5:$D$304,LANÇAMENTOS!$C$5:$C$304,A16,LANÇAMENTOS!$B$5:$B$304,"Compra")-SUMIFS(LANÇAMENTOS!$D$5:$D$304,LANÇAMENTOS!$C$5:$C$304,A16,LANÇAMENTOS!$B$5:$B$304,"Venda"))</f>
        <v/>
      </c>
      <c r="F16" s="20">
        <f>IFERROR(SUMIFS(LANÇAMENTOS!$F$5:$F$304,LANÇAMENTOS!$C$5:$C$304,A16,LANÇAMENTOS!$B$5:$B$304,"Compra")/SUMIFS(LANÇAMENTOS!$D$5:$D$304,LANÇAMENTOS!$C$5:$C$304,A16,LANÇAMENTOS!$B$5:$B$304,"Compra"),0)</f>
        <v/>
      </c>
      <c r="G16" s="20">
        <f>IFERROR(VLOOKUP(A16,ATIVOS!$A$5:$H$54,7,FALSE),0)</f>
        <v/>
      </c>
      <c r="H16" s="20">
        <f>MAX(0,E16*F16)</f>
        <v/>
      </c>
      <c r="I16" s="20">
        <f>MAX(0,E16*G16)</f>
        <v/>
      </c>
      <c r="J16" s="20">
        <f>I16-H16</f>
        <v/>
      </c>
      <c r="K16" s="23">
        <f>IFERROR(J16/H16,0)</f>
        <v/>
      </c>
      <c r="L16" s="20">
        <f>SUMIFS(LANÇAMENTOS!$F$5:$F$304,LANÇAMENTOS!$C$5:$C$304,A16,LANÇAMENTOS!$B$5:$B$304,"Dividendos")</f>
        <v/>
      </c>
    </row>
    <row r="17">
      <c r="A17" s="18" t="n"/>
      <c r="B17" s="18">
        <f>IFERROR(VLOOKUP(A17,ATIVOS!$A$5:$H$54,2,FALSE),"")</f>
        <v/>
      </c>
      <c r="C17" s="18">
        <f>IFERROR(VLOOKUP(A17,ATIVOS!$A$5:$H$54,3,FALSE),"")</f>
        <v/>
      </c>
      <c r="D17" s="18">
        <f>IFERROR(VLOOKUP(A17,ATIVOS!$A$5:$H$54,4,FALSE),"")</f>
        <v/>
      </c>
      <c r="E17" s="18">
        <f>IF(A17="","",SUMIFS(LANÇAMENTOS!$D$5:$D$304,LANÇAMENTOS!$C$5:$C$304,A17,LANÇAMENTOS!$B$5:$B$304,"Compra")-SUMIFS(LANÇAMENTOS!$D$5:$D$304,LANÇAMENTOS!$C$5:$C$304,A17,LANÇAMENTOS!$B$5:$B$304,"Venda"))</f>
        <v/>
      </c>
      <c r="F17" s="20">
        <f>IFERROR(SUMIFS(LANÇAMENTOS!$F$5:$F$304,LANÇAMENTOS!$C$5:$C$304,A17,LANÇAMENTOS!$B$5:$B$304,"Compra")/SUMIFS(LANÇAMENTOS!$D$5:$D$304,LANÇAMENTOS!$C$5:$C$304,A17,LANÇAMENTOS!$B$5:$B$304,"Compra"),0)</f>
        <v/>
      </c>
      <c r="G17" s="20">
        <f>IFERROR(VLOOKUP(A17,ATIVOS!$A$5:$H$54,7,FALSE),0)</f>
        <v/>
      </c>
      <c r="H17" s="20">
        <f>MAX(0,E17*F17)</f>
        <v/>
      </c>
      <c r="I17" s="20">
        <f>MAX(0,E17*G17)</f>
        <v/>
      </c>
      <c r="J17" s="20">
        <f>I17-H17</f>
        <v/>
      </c>
      <c r="K17" s="23">
        <f>IFERROR(J17/H17,0)</f>
        <v/>
      </c>
      <c r="L17" s="20">
        <f>SUMIFS(LANÇAMENTOS!$F$5:$F$304,LANÇAMENTOS!$C$5:$C$304,A17,LANÇAMENTOS!$B$5:$B$304,"Dividendos")</f>
        <v/>
      </c>
    </row>
    <row r="18">
      <c r="A18" s="18" t="n"/>
      <c r="B18" s="18">
        <f>IFERROR(VLOOKUP(A18,ATIVOS!$A$5:$H$54,2,FALSE),"")</f>
        <v/>
      </c>
      <c r="C18" s="18">
        <f>IFERROR(VLOOKUP(A18,ATIVOS!$A$5:$H$54,3,FALSE),"")</f>
        <v/>
      </c>
      <c r="D18" s="18">
        <f>IFERROR(VLOOKUP(A18,ATIVOS!$A$5:$H$54,4,FALSE),"")</f>
        <v/>
      </c>
      <c r="E18" s="18">
        <f>IF(A18="","",SUMIFS(LANÇAMENTOS!$D$5:$D$304,LANÇAMENTOS!$C$5:$C$304,A18,LANÇAMENTOS!$B$5:$B$304,"Compra")-SUMIFS(LANÇAMENTOS!$D$5:$D$304,LANÇAMENTOS!$C$5:$C$304,A18,LANÇAMENTOS!$B$5:$B$304,"Venda"))</f>
        <v/>
      </c>
      <c r="F18" s="20">
        <f>IFERROR(SUMIFS(LANÇAMENTOS!$F$5:$F$304,LANÇAMENTOS!$C$5:$C$304,A18,LANÇAMENTOS!$B$5:$B$304,"Compra")/SUMIFS(LANÇAMENTOS!$D$5:$D$304,LANÇAMENTOS!$C$5:$C$304,A18,LANÇAMENTOS!$B$5:$B$304,"Compra"),0)</f>
        <v/>
      </c>
      <c r="G18" s="20">
        <f>IFERROR(VLOOKUP(A18,ATIVOS!$A$5:$H$54,7,FALSE),0)</f>
        <v/>
      </c>
      <c r="H18" s="20">
        <f>MAX(0,E18*F18)</f>
        <v/>
      </c>
      <c r="I18" s="20">
        <f>MAX(0,E18*G18)</f>
        <v/>
      </c>
      <c r="J18" s="20">
        <f>I18-H18</f>
        <v/>
      </c>
      <c r="K18" s="23">
        <f>IFERROR(J18/H18,0)</f>
        <v/>
      </c>
      <c r="L18" s="20">
        <f>SUMIFS(LANÇAMENTOS!$F$5:$F$304,LANÇAMENTOS!$C$5:$C$304,A18,LANÇAMENTOS!$B$5:$B$304,"Dividendos")</f>
        <v/>
      </c>
    </row>
    <row r="19">
      <c r="A19" s="18" t="n"/>
      <c r="B19" s="18">
        <f>IFERROR(VLOOKUP(A19,ATIVOS!$A$5:$H$54,2,FALSE),"")</f>
        <v/>
      </c>
      <c r="C19" s="18">
        <f>IFERROR(VLOOKUP(A19,ATIVOS!$A$5:$H$54,3,FALSE),"")</f>
        <v/>
      </c>
      <c r="D19" s="18">
        <f>IFERROR(VLOOKUP(A19,ATIVOS!$A$5:$H$54,4,FALSE),"")</f>
        <v/>
      </c>
      <c r="E19" s="18">
        <f>IF(A19="","",SUMIFS(LANÇAMENTOS!$D$5:$D$304,LANÇAMENTOS!$C$5:$C$304,A19,LANÇAMENTOS!$B$5:$B$304,"Compra")-SUMIFS(LANÇAMENTOS!$D$5:$D$304,LANÇAMENTOS!$C$5:$C$304,A19,LANÇAMENTOS!$B$5:$B$304,"Venda"))</f>
        <v/>
      </c>
      <c r="F19" s="20">
        <f>IFERROR(SUMIFS(LANÇAMENTOS!$F$5:$F$304,LANÇAMENTOS!$C$5:$C$304,A19,LANÇAMENTOS!$B$5:$B$304,"Compra")/SUMIFS(LANÇAMENTOS!$D$5:$D$304,LANÇAMENTOS!$C$5:$C$304,A19,LANÇAMENTOS!$B$5:$B$304,"Compra"),0)</f>
        <v/>
      </c>
      <c r="G19" s="20">
        <f>IFERROR(VLOOKUP(A19,ATIVOS!$A$5:$H$54,7,FALSE),0)</f>
        <v/>
      </c>
      <c r="H19" s="20">
        <f>MAX(0,E19*F19)</f>
        <v/>
      </c>
      <c r="I19" s="20">
        <f>MAX(0,E19*G19)</f>
        <v/>
      </c>
      <c r="J19" s="20">
        <f>I19-H19</f>
        <v/>
      </c>
      <c r="K19" s="23">
        <f>IFERROR(J19/H19,0)</f>
        <v/>
      </c>
      <c r="L19" s="20">
        <f>SUMIFS(LANÇAMENTOS!$F$5:$F$304,LANÇAMENTOS!$C$5:$C$304,A19,LANÇAMENTOS!$B$5:$B$304,"Dividendos")</f>
        <v/>
      </c>
    </row>
    <row r="20">
      <c r="A20" s="18" t="n"/>
      <c r="B20" s="18">
        <f>IFERROR(VLOOKUP(A20,ATIVOS!$A$5:$H$54,2,FALSE),"")</f>
        <v/>
      </c>
      <c r="C20" s="18">
        <f>IFERROR(VLOOKUP(A20,ATIVOS!$A$5:$H$54,3,FALSE),"")</f>
        <v/>
      </c>
      <c r="D20" s="18">
        <f>IFERROR(VLOOKUP(A20,ATIVOS!$A$5:$H$54,4,FALSE),"")</f>
        <v/>
      </c>
      <c r="E20" s="18">
        <f>IF(A20="","",SUMIFS(LANÇAMENTOS!$D$5:$D$304,LANÇAMENTOS!$C$5:$C$304,A20,LANÇAMENTOS!$B$5:$B$304,"Compra")-SUMIFS(LANÇAMENTOS!$D$5:$D$304,LANÇAMENTOS!$C$5:$C$304,A20,LANÇAMENTOS!$B$5:$B$304,"Venda"))</f>
        <v/>
      </c>
      <c r="F20" s="20">
        <f>IFERROR(SUMIFS(LANÇAMENTOS!$F$5:$F$304,LANÇAMENTOS!$C$5:$C$304,A20,LANÇAMENTOS!$B$5:$B$304,"Compra")/SUMIFS(LANÇAMENTOS!$D$5:$D$304,LANÇAMENTOS!$C$5:$C$304,A20,LANÇAMENTOS!$B$5:$B$304,"Compra"),0)</f>
        <v/>
      </c>
      <c r="G20" s="20">
        <f>IFERROR(VLOOKUP(A20,ATIVOS!$A$5:$H$54,7,FALSE),0)</f>
        <v/>
      </c>
      <c r="H20" s="20">
        <f>MAX(0,E20*F20)</f>
        <v/>
      </c>
      <c r="I20" s="20">
        <f>MAX(0,E20*G20)</f>
        <v/>
      </c>
      <c r="J20" s="20">
        <f>I20-H20</f>
        <v/>
      </c>
      <c r="K20" s="23">
        <f>IFERROR(J20/H20,0)</f>
        <v/>
      </c>
      <c r="L20" s="20">
        <f>SUMIFS(LANÇAMENTOS!$F$5:$F$304,LANÇAMENTOS!$C$5:$C$304,A20,LANÇAMENTOS!$B$5:$B$304,"Dividendos")</f>
        <v/>
      </c>
    </row>
    <row r="21">
      <c r="A21" s="18" t="n"/>
      <c r="B21" s="18">
        <f>IFERROR(VLOOKUP(A21,ATIVOS!$A$5:$H$54,2,FALSE),"")</f>
        <v/>
      </c>
      <c r="C21" s="18">
        <f>IFERROR(VLOOKUP(A21,ATIVOS!$A$5:$H$54,3,FALSE),"")</f>
        <v/>
      </c>
      <c r="D21" s="18">
        <f>IFERROR(VLOOKUP(A21,ATIVOS!$A$5:$H$54,4,FALSE),"")</f>
        <v/>
      </c>
      <c r="E21" s="18">
        <f>IF(A21="","",SUMIFS(LANÇAMENTOS!$D$5:$D$304,LANÇAMENTOS!$C$5:$C$304,A21,LANÇAMENTOS!$B$5:$B$304,"Compra")-SUMIFS(LANÇAMENTOS!$D$5:$D$304,LANÇAMENTOS!$C$5:$C$304,A21,LANÇAMENTOS!$B$5:$B$304,"Venda"))</f>
        <v/>
      </c>
      <c r="F21" s="20">
        <f>IFERROR(SUMIFS(LANÇAMENTOS!$F$5:$F$304,LANÇAMENTOS!$C$5:$C$304,A21,LANÇAMENTOS!$B$5:$B$304,"Compra")/SUMIFS(LANÇAMENTOS!$D$5:$D$304,LANÇAMENTOS!$C$5:$C$304,A21,LANÇAMENTOS!$B$5:$B$304,"Compra"),0)</f>
        <v/>
      </c>
      <c r="G21" s="20">
        <f>IFERROR(VLOOKUP(A21,ATIVOS!$A$5:$H$54,7,FALSE),0)</f>
        <v/>
      </c>
      <c r="H21" s="20">
        <f>MAX(0,E21*F21)</f>
        <v/>
      </c>
      <c r="I21" s="20">
        <f>MAX(0,E21*G21)</f>
        <v/>
      </c>
      <c r="J21" s="20">
        <f>I21-H21</f>
        <v/>
      </c>
      <c r="K21" s="23">
        <f>IFERROR(J21/H21,0)</f>
        <v/>
      </c>
      <c r="L21" s="20">
        <f>SUMIFS(LANÇAMENTOS!$F$5:$F$304,LANÇAMENTOS!$C$5:$C$304,A21,LANÇAMENTOS!$B$5:$B$304,"Dividendos")</f>
        <v/>
      </c>
    </row>
    <row r="22">
      <c r="A22" s="18" t="n"/>
      <c r="B22" s="18">
        <f>IFERROR(VLOOKUP(A22,ATIVOS!$A$5:$H$54,2,FALSE),"")</f>
        <v/>
      </c>
      <c r="C22" s="18">
        <f>IFERROR(VLOOKUP(A22,ATIVOS!$A$5:$H$54,3,FALSE),"")</f>
        <v/>
      </c>
      <c r="D22" s="18">
        <f>IFERROR(VLOOKUP(A22,ATIVOS!$A$5:$H$54,4,FALSE),"")</f>
        <v/>
      </c>
      <c r="E22" s="18">
        <f>IF(A22="","",SUMIFS(LANÇAMENTOS!$D$5:$D$304,LANÇAMENTOS!$C$5:$C$304,A22,LANÇAMENTOS!$B$5:$B$304,"Compra")-SUMIFS(LANÇAMENTOS!$D$5:$D$304,LANÇAMENTOS!$C$5:$C$304,A22,LANÇAMENTOS!$B$5:$B$304,"Venda"))</f>
        <v/>
      </c>
      <c r="F22" s="20">
        <f>IFERROR(SUMIFS(LANÇAMENTOS!$F$5:$F$304,LANÇAMENTOS!$C$5:$C$304,A22,LANÇAMENTOS!$B$5:$B$304,"Compra")/SUMIFS(LANÇAMENTOS!$D$5:$D$304,LANÇAMENTOS!$C$5:$C$304,A22,LANÇAMENTOS!$B$5:$B$304,"Compra"),0)</f>
        <v/>
      </c>
      <c r="G22" s="20">
        <f>IFERROR(VLOOKUP(A22,ATIVOS!$A$5:$H$54,7,FALSE),0)</f>
        <v/>
      </c>
      <c r="H22" s="20">
        <f>MAX(0,E22*F22)</f>
        <v/>
      </c>
      <c r="I22" s="20">
        <f>MAX(0,E22*G22)</f>
        <v/>
      </c>
      <c r="J22" s="20">
        <f>I22-H22</f>
        <v/>
      </c>
      <c r="K22" s="23">
        <f>IFERROR(J22/H22,0)</f>
        <v/>
      </c>
      <c r="L22" s="20">
        <f>SUMIFS(LANÇAMENTOS!$F$5:$F$304,LANÇAMENTOS!$C$5:$C$304,A22,LANÇAMENTOS!$B$5:$B$304,"Dividendos")</f>
        <v/>
      </c>
    </row>
    <row r="23">
      <c r="A23" s="18" t="n"/>
      <c r="B23" s="18">
        <f>IFERROR(VLOOKUP(A23,ATIVOS!$A$5:$H$54,2,FALSE),"")</f>
        <v/>
      </c>
      <c r="C23" s="18">
        <f>IFERROR(VLOOKUP(A23,ATIVOS!$A$5:$H$54,3,FALSE),"")</f>
        <v/>
      </c>
      <c r="D23" s="18">
        <f>IFERROR(VLOOKUP(A23,ATIVOS!$A$5:$H$54,4,FALSE),"")</f>
        <v/>
      </c>
      <c r="E23" s="18">
        <f>IF(A23="","",SUMIFS(LANÇAMENTOS!$D$5:$D$304,LANÇAMENTOS!$C$5:$C$304,A23,LANÇAMENTOS!$B$5:$B$304,"Compra")-SUMIFS(LANÇAMENTOS!$D$5:$D$304,LANÇAMENTOS!$C$5:$C$304,A23,LANÇAMENTOS!$B$5:$B$304,"Venda"))</f>
        <v/>
      </c>
      <c r="F23" s="20">
        <f>IFERROR(SUMIFS(LANÇAMENTOS!$F$5:$F$304,LANÇAMENTOS!$C$5:$C$304,A23,LANÇAMENTOS!$B$5:$B$304,"Compra")/SUMIFS(LANÇAMENTOS!$D$5:$D$304,LANÇAMENTOS!$C$5:$C$304,A23,LANÇAMENTOS!$B$5:$B$304,"Compra"),0)</f>
        <v/>
      </c>
      <c r="G23" s="20">
        <f>IFERROR(VLOOKUP(A23,ATIVOS!$A$5:$H$54,7,FALSE),0)</f>
        <v/>
      </c>
      <c r="H23" s="20">
        <f>MAX(0,E23*F23)</f>
        <v/>
      </c>
      <c r="I23" s="20">
        <f>MAX(0,E23*G23)</f>
        <v/>
      </c>
      <c r="J23" s="20">
        <f>I23-H23</f>
        <v/>
      </c>
      <c r="K23" s="23">
        <f>IFERROR(J23/H23,0)</f>
        <v/>
      </c>
      <c r="L23" s="20">
        <f>SUMIFS(LANÇAMENTOS!$F$5:$F$304,LANÇAMENTOS!$C$5:$C$304,A23,LANÇAMENTOS!$B$5:$B$304,"Dividendos")</f>
        <v/>
      </c>
    </row>
    <row r="24">
      <c r="A24" s="18" t="n"/>
      <c r="B24" s="18">
        <f>IFERROR(VLOOKUP(A24,ATIVOS!$A$5:$H$54,2,FALSE),"")</f>
        <v/>
      </c>
      <c r="C24" s="18">
        <f>IFERROR(VLOOKUP(A24,ATIVOS!$A$5:$H$54,3,FALSE),"")</f>
        <v/>
      </c>
      <c r="D24" s="18">
        <f>IFERROR(VLOOKUP(A24,ATIVOS!$A$5:$H$54,4,FALSE),"")</f>
        <v/>
      </c>
      <c r="E24" s="18">
        <f>IF(A24="","",SUMIFS(LANÇAMENTOS!$D$5:$D$304,LANÇAMENTOS!$C$5:$C$304,A24,LANÇAMENTOS!$B$5:$B$304,"Compra")-SUMIFS(LANÇAMENTOS!$D$5:$D$304,LANÇAMENTOS!$C$5:$C$304,A24,LANÇAMENTOS!$B$5:$B$304,"Venda"))</f>
        <v/>
      </c>
      <c r="F24" s="20">
        <f>IFERROR(SUMIFS(LANÇAMENTOS!$F$5:$F$304,LANÇAMENTOS!$C$5:$C$304,A24,LANÇAMENTOS!$B$5:$B$304,"Compra")/SUMIFS(LANÇAMENTOS!$D$5:$D$304,LANÇAMENTOS!$C$5:$C$304,A24,LANÇAMENTOS!$B$5:$B$304,"Compra"),0)</f>
        <v/>
      </c>
      <c r="G24" s="20">
        <f>IFERROR(VLOOKUP(A24,ATIVOS!$A$5:$H$54,7,FALSE),0)</f>
        <v/>
      </c>
      <c r="H24" s="20">
        <f>MAX(0,E24*F24)</f>
        <v/>
      </c>
      <c r="I24" s="20">
        <f>MAX(0,E24*G24)</f>
        <v/>
      </c>
      <c r="J24" s="20">
        <f>I24-H24</f>
        <v/>
      </c>
      <c r="K24" s="23">
        <f>IFERROR(J24/H24,0)</f>
        <v/>
      </c>
      <c r="L24" s="20">
        <f>SUMIFS(LANÇAMENTOS!$F$5:$F$304,LANÇAMENTOS!$C$5:$C$304,A24,LANÇAMENTOS!$B$5:$B$304,"Dividendos")</f>
        <v/>
      </c>
    </row>
    <row r="25">
      <c r="A25" s="18" t="n"/>
      <c r="B25" s="18">
        <f>IFERROR(VLOOKUP(A25,ATIVOS!$A$5:$H$54,2,FALSE),"")</f>
        <v/>
      </c>
      <c r="C25" s="18">
        <f>IFERROR(VLOOKUP(A25,ATIVOS!$A$5:$H$54,3,FALSE),"")</f>
        <v/>
      </c>
      <c r="D25" s="18">
        <f>IFERROR(VLOOKUP(A25,ATIVOS!$A$5:$H$54,4,FALSE),"")</f>
        <v/>
      </c>
      <c r="E25" s="18">
        <f>IF(A25="","",SUMIFS(LANÇAMENTOS!$D$5:$D$304,LANÇAMENTOS!$C$5:$C$304,A25,LANÇAMENTOS!$B$5:$B$304,"Compra")-SUMIFS(LANÇAMENTOS!$D$5:$D$304,LANÇAMENTOS!$C$5:$C$304,A25,LANÇAMENTOS!$B$5:$B$304,"Venda"))</f>
        <v/>
      </c>
      <c r="F25" s="20">
        <f>IFERROR(SUMIFS(LANÇAMENTOS!$F$5:$F$304,LANÇAMENTOS!$C$5:$C$304,A25,LANÇAMENTOS!$B$5:$B$304,"Compra")/SUMIFS(LANÇAMENTOS!$D$5:$D$304,LANÇAMENTOS!$C$5:$C$304,A25,LANÇAMENTOS!$B$5:$B$304,"Compra"),0)</f>
        <v/>
      </c>
      <c r="G25" s="20">
        <f>IFERROR(VLOOKUP(A25,ATIVOS!$A$5:$H$54,7,FALSE),0)</f>
        <v/>
      </c>
      <c r="H25" s="20">
        <f>MAX(0,E25*F25)</f>
        <v/>
      </c>
      <c r="I25" s="20">
        <f>MAX(0,E25*G25)</f>
        <v/>
      </c>
      <c r="J25" s="20">
        <f>I25-H25</f>
        <v/>
      </c>
      <c r="K25" s="23">
        <f>IFERROR(J25/H25,0)</f>
        <v/>
      </c>
      <c r="L25" s="20">
        <f>SUMIFS(LANÇAMENTOS!$F$5:$F$304,LANÇAMENTOS!$C$5:$C$304,A25,LANÇAMENTOS!$B$5:$B$304,"Dividendos")</f>
        <v/>
      </c>
    </row>
    <row r="26">
      <c r="A26" s="18" t="n"/>
      <c r="B26" s="18">
        <f>IFERROR(VLOOKUP(A26,ATIVOS!$A$5:$H$54,2,FALSE),"")</f>
        <v/>
      </c>
      <c r="C26" s="18">
        <f>IFERROR(VLOOKUP(A26,ATIVOS!$A$5:$H$54,3,FALSE),"")</f>
        <v/>
      </c>
      <c r="D26" s="18">
        <f>IFERROR(VLOOKUP(A26,ATIVOS!$A$5:$H$54,4,FALSE),"")</f>
        <v/>
      </c>
      <c r="E26" s="18">
        <f>IF(A26="","",SUMIFS(LANÇAMENTOS!$D$5:$D$304,LANÇAMENTOS!$C$5:$C$304,A26,LANÇAMENTOS!$B$5:$B$304,"Compra")-SUMIFS(LANÇAMENTOS!$D$5:$D$304,LANÇAMENTOS!$C$5:$C$304,A26,LANÇAMENTOS!$B$5:$B$304,"Venda"))</f>
        <v/>
      </c>
      <c r="F26" s="20">
        <f>IFERROR(SUMIFS(LANÇAMENTOS!$F$5:$F$304,LANÇAMENTOS!$C$5:$C$304,A26,LANÇAMENTOS!$B$5:$B$304,"Compra")/SUMIFS(LANÇAMENTOS!$D$5:$D$304,LANÇAMENTOS!$C$5:$C$304,A26,LANÇAMENTOS!$B$5:$B$304,"Compra"),0)</f>
        <v/>
      </c>
      <c r="G26" s="20">
        <f>IFERROR(VLOOKUP(A26,ATIVOS!$A$5:$H$54,7,FALSE),0)</f>
        <v/>
      </c>
      <c r="H26" s="20">
        <f>MAX(0,E26*F26)</f>
        <v/>
      </c>
      <c r="I26" s="20">
        <f>MAX(0,E26*G26)</f>
        <v/>
      </c>
      <c r="J26" s="20">
        <f>I26-H26</f>
        <v/>
      </c>
      <c r="K26" s="23">
        <f>IFERROR(J26/H26,0)</f>
        <v/>
      </c>
      <c r="L26" s="20">
        <f>SUMIFS(LANÇAMENTOS!$F$5:$F$304,LANÇAMENTOS!$C$5:$C$304,A26,LANÇAMENTOS!$B$5:$B$304,"Dividendos")</f>
        <v/>
      </c>
    </row>
    <row r="27">
      <c r="A27" s="18" t="n"/>
      <c r="B27" s="18">
        <f>IFERROR(VLOOKUP(A27,ATIVOS!$A$5:$H$54,2,FALSE),"")</f>
        <v/>
      </c>
      <c r="C27" s="18">
        <f>IFERROR(VLOOKUP(A27,ATIVOS!$A$5:$H$54,3,FALSE),"")</f>
        <v/>
      </c>
      <c r="D27" s="18">
        <f>IFERROR(VLOOKUP(A27,ATIVOS!$A$5:$H$54,4,FALSE),"")</f>
        <v/>
      </c>
      <c r="E27" s="18">
        <f>IF(A27="","",SUMIFS(LANÇAMENTOS!$D$5:$D$304,LANÇAMENTOS!$C$5:$C$304,A27,LANÇAMENTOS!$B$5:$B$304,"Compra")-SUMIFS(LANÇAMENTOS!$D$5:$D$304,LANÇAMENTOS!$C$5:$C$304,A27,LANÇAMENTOS!$B$5:$B$304,"Venda"))</f>
        <v/>
      </c>
      <c r="F27" s="20">
        <f>IFERROR(SUMIFS(LANÇAMENTOS!$F$5:$F$304,LANÇAMENTOS!$C$5:$C$304,A27,LANÇAMENTOS!$B$5:$B$304,"Compra")/SUMIFS(LANÇAMENTOS!$D$5:$D$304,LANÇAMENTOS!$C$5:$C$304,A27,LANÇAMENTOS!$B$5:$B$304,"Compra"),0)</f>
        <v/>
      </c>
      <c r="G27" s="20">
        <f>IFERROR(VLOOKUP(A27,ATIVOS!$A$5:$H$54,7,FALSE),0)</f>
        <v/>
      </c>
      <c r="H27" s="20">
        <f>MAX(0,E27*F27)</f>
        <v/>
      </c>
      <c r="I27" s="20">
        <f>MAX(0,E27*G27)</f>
        <v/>
      </c>
      <c r="J27" s="20">
        <f>I27-H27</f>
        <v/>
      </c>
      <c r="K27" s="23">
        <f>IFERROR(J27/H27,0)</f>
        <v/>
      </c>
      <c r="L27" s="20">
        <f>SUMIFS(LANÇAMENTOS!$F$5:$F$304,LANÇAMENTOS!$C$5:$C$304,A27,LANÇAMENTOS!$B$5:$B$304,"Dividendos")</f>
        <v/>
      </c>
    </row>
    <row r="28">
      <c r="A28" s="18" t="n"/>
      <c r="B28" s="18">
        <f>IFERROR(VLOOKUP(A28,ATIVOS!$A$5:$H$54,2,FALSE),"")</f>
        <v/>
      </c>
      <c r="C28" s="18">
        <f>IFERROR(VLOOKUP(A28,ATIVOS!$A$5:$H$54,3,FALSE),"")</f>
        <v/>
      </c>
      <c r="D28" s="18">
        <f>IFERROR(VLOOKUP(A28,ATIVOS!$A$5:$H$54,4,FALSE),"")</f>
        <v/>
      </c>
      <c r="E28" s="18">
        <f>IF(A28="","",SUMIFS(LANÇAMENTOS!$D$5:$D$304,LANÇAMENTOS!$C$5:$C$304,A28,LANÇAMENTOS!$B$5:$B$304,"Compra")-SUMIFS(LANÇAMENTOS!$D$5:$D$304,LANÇAMENTOS!$C$5:$C$304,A28,LANÇAMENTOS!$B$5:$B$304,"Venda"))</f>
        <v/>
      </c>
      <c r="F28" s="20">
        <f>IFERROR(SUMIFS(LANÇAMENTOS!$F$5:$F$304,LANÇAMENTOS!$C$5:$C$304,A28,LANÇAMENTOS!$B$5:$B$304,"Compra")/SUMIFS(LANÇAMENTOS!$D$5:$D$304,LANÇAMENTOS!$C$5:$C$304,A28,LANÇAMENTOS!$B$5:$B$304,"Compra"),0)</f>
        <v/>
      </c>
      <c r="G28" s="20">
        <f>IFERROR(VLOOKUP(A28,ATIVOS!$A$5:$H$54,7,FALSE),0)</f>
        <v/>
      </c>
      <c r="H28" s="20">
        <f>MAX(0,E28*F28)</f>
        <v/>
      </c>
      <c r="I28" s="20">
        <f>MAX(0,E28*G28)</f>
        <v/>
      </c>
      <c r="J28" s="20">
        <f>I28-H28</f>
        <v/>
      </c>
      <c r="K28" s="23">
        <f>IFERROR(J28/H28,0)</f>
        <v/>
      </c>
      <c r="L28" s="20">
        <f>SUMIFS(LANÇAMENTOS!$F$5:$F$304,LANÇAMENTOS!$C$5:$C$304,A28,LANÇAMENTOS!$B$5:$B$304,"Dividendos")</f>
        <v/>
      </c>
    </row>
    <row r="29">
      <c r="A29" s="18" t="n"/>
      <c r="B29" s="18">
        <f>IFERROR(VLOOKUP(A29,ATIVOS!$A$5:$H$54,2,FALSE),"")</f>
        <v/>
      </c>
      <c r="C29" s="18">
        <f>IFERROR(VLOOKUP(A29,ATIVOS!$A$5:$H$54,3,FALSE),"")</f>
        <v/>
      </c>
      <c r="D29" s="18">
        <f>IFERROR(VLOOKUP(A29,ATIVOS!$A$5:$H$54,4,FALSE),"")</f>
        <v/>
      </c>
      <c r="E29" s="18">
        <f>IF(A29="","",SUMIFS(LANÇAMENTOS!$D$5:$D$304,LANÇAMENTOS!$C$5:$C$304,A29,LANÇAMENTOS!$B$5:$B$304,"Compra")-SUMIFS(LANÇAMENTOS!$D$5:$D$304,LANÇAMENTOS!$C$5:$C$304,A29,LANÇAMENTOS!$B$5:$B$304,"Venda"))</f>
        <v/>
      </c>
      <c r="F29" s="20">
        <f>IFERROR(SUMIFS(LANÇAMENTOS!$F$5:$F$304,LANÇAMENTOS!$C$5:$C$304,A29,LANÇAMENTOS!$B$5:$B$304,"Compra")/SUMIFS(LANÇAMENTOS!$D$5:$D$304,LANÇAMENTOS!$C$5:$C$304,A29,LANÇAMENTOS!$B$5:$B$304,"Compra"),0)</f>
        <v/>
      </c>
      <c r="G29" s="20">
        <f>IFERROR(VLOOKUP(A29,ATIVOS!$A$5:$H$54,7,FALSE),0)</f>
        <v/>
      </c>
      <c r="H29" s="20">
        <f>MAX(0,E29*F29)</f>
        <v/>
      </c>
      <c r="I29" s="20">
        <f>MAX(0,E29*G29)</f>
        <v/>
      </c>
      <c r="J29" s="20">
        <f>I29-H29</f>
        <v/>
      </c>
      <c r="K29" s="23">
        <f>IFERROR(J29/H29,0)</f>
        <v/>
      </c>
      <c r="L29" s="20">
        <f>SUMIFS(LANÇAMENTOS!$F$5:$F$304,LANÇAMENTOS!$C$5:$C$304,A29,LANÇAMENTOS!$B$5:$B$304,"Dividendos")</f>
        <v/>
      </c>
    </row>
    <row r="30">
      <c r="A30" s="18" t="n"/>
      <c r="B30" s="18">
        <f>IFERROR(VLOOKUP(A30,ATIVOS!$A$5:$H$54,2,FALSE),"")</f>
        <v/>
      </c>
      <c r="C30" s="18">
        <f>IFERROR(VLOOKUP(A30,ATIVOS!$A$5:$H$54,3,FALSE),"")</f>
        <v/>
      </c>
      <c r="D30" s="18">
        <f>IFERROR(VLOOKUP(A30,ATIVOS!$A$5:$H$54,4,FALSE),"")</f>
        <v/>
      </c>
      <c r="E30" s="18">
        <f>IF(A30="","",SUMIFS(LANÇAMENTOS!$D$5:$D$304,LANÇAMENTOS!$C$5:$C$304,A30,LANÇAMENTOS!$B$5:$B$304,"Compra")-SUMIFS(LANÇAMENTOS!$D$5:$D$304,LANÇAMENTOS!$C$5:$C$304,A30,LANÇAMENTOS!$B$5:$B$304,"Venda"))</f>
        <v/>
      </c>
      <c r="F30" s="20">
        <f>IFERROR(SUMIFS(LANÇAMENTOS!$F$5:$F$304,LANÇAMENTOS!$C$5:$C$304,A30,LANÇAMENTOS!$B$5:$B$304,"Compra")/SUMIFS(LANÇAMENTOS!$D$5:$D$304,LANÇAMENTOS!$C$5:$C$304,A30,LANÇAMENTOS!$B$5:$B$304,"Compra"),0)</f>
        <v/>
      </c>
      <c r="G30" s="20">
        <f>IFERROR(VLOOKUP(A30,ATIVOS!$A$5:$H$54,7,FALSE),0)</f>
        <v/>
      </c>
      <c r="H30" s="20">
        <f>MAX(0,E30*F30)</f>
        <v/>
      </c>
      <c r="I30" s="20">
        <f>MAX(0,E30*G30)</f>
        <v/>
      </c>
      <c r="J30" s="20">
        <f>I30-H30</f>
        <v/>
      </c>
      <c r="K30" s="23">
        <f>IFERROR(J30/H30,0)</f>
        <v/>
      </c>
      <c r="L30" s="20">
        <f>SUMIFS(LANÇAMENTOS!$F$5:$F$304,LANÇAMENTOS!$C$5:$C$304,A30,LANÇAMENTOS!$B$5:$B$304,"Dividendos")</f>
        <v/>
      </c>
    </row>
    <row r="31">
      <c r="A31" s="18" t="n"/>
      <c r="B31" s="18">
        <f>IFERROR(VLOOKUP(A31,ATIVOS!$A$5:$H$54,2,FALSE),"")</f>
        <v/>
      </c>
      <c r="C31" s="18">
        <f>IFERROR(VLOOKUP(A31,ATIVOS!$A$5:$H$54,3,FALSE),"")</f>
        <v/>
      </c>
      <c r="D31" s="18">
        <f>IFERROR(VLOOKUP(A31,ATIVOS!$A$5:$H$54,4,FALSE),"")</f>
        <v/>
      </c>
      <c r="E31" s="18">
        <f>IF(A31="","",SUMIFS(LANÇAMENTOS!$D$5:$D$304,LANÇAMENTOS!$C$5:$C$304,A31,LANÇAMENTOS!$B$5:$B$304,"Compra")-SUMIFS(LANÇAMENTOS!$D$5:$D$304,LANÇAMENTOS!$C$5:$C$304,A31,LANÇAMENTOS!$B$5:$B$304,"Venda"))</f>
        <v/>
      </c>
      <c r="F31" s="20">
        <f>IFERROR(SUMIFS(LANÇAMENTOS!$F$5:$F$304,LANÇAMENTOS!$C$5:$C$304,A31,LANÇAMENTOS!$B$5:$B$304,"Compra")/SUMIFS(LANÇAMENTOS!$D$5:$D$304,LANÇAMENTOS!$C$5:$C$304,A31,LANÇAMENTOS!$B$5:$B$304,"Compra"),0)</f>
        <v/>
      </c>
      <c r="G31" s="20">
        <f>IFERROR(VLOOKUP(A31,ATIVOS!$A$5:$H$54,7,FALSE),0)</f>
        <v/>
      </c>
      <c r="H31" s="20">
        <f>MAX(0,E31*F31)</f>
        <v/>
      </c>
      <c r="I31" s="20">
        <f>MAX(0,E31*G31)</f>
        <v/>
      </c>
      <c r="J31" s="20">
        <f>I31-H31</f>
        <v/>
      </c>
      <c r="K31" s="23">
        <f>IFERROR(J31/H31,0)</f>
        <v/>
      </c>
      <c r="L31" s="20">
        <f>SUMIFS(LANÇAMENTOS!$F$5:$F$304,LANÇAMENTOS!$C$5:$C$304,A31,LANÇAMENTOS!$B$5:$B$304,"Dividendos")</f>
        <v/>
      </c>
    </row>
    <row r="32">
      <c r="A32" s="18" t="n"/>
      <c r="B32" s="18">
        <f>IFERROR(VLOOKUP(A32,ATIVOS!$A$5:$H$54,2,FALSE),"")</f>
        <v/>
      </c>
      <c r="C32" s="18">
        <f>IFERROR(VLOOKUP(A32,ATIVOS!$A$5:$H$54,3,FALSE),"")</f>
        <v/>
      </c>
      <c r="D32" s="18">
        <f>IFERROR(VLOOKUP(A32,ATIVOS!$A$5:$H$54,4,FALSE),"")</f>
        <v/>
      </c>
      <c r="E32" s="18">
        <f>IF(A32="","",SUMIFS(LANÇAMENTOS!$D$5:$D$304,LANÇAMENTOS!$C$5:$C$304,A32,LANÇAMENTOS!$B$5:$B$304,"Compra")-SUMIFS(LANÇAMENTOS!$D$5:$D$304,LANÇAMENTOS!$C$5:$C$304,A32,LANÇAMENTOS!$B$5:$B$304,"Venda"))</f>
        <v/>
      </c>
      <c r="F32" s="20">
        <f>IFERROR(SUMIFS(LANÇAMENTOS!$F$5:$F$304,LANÇAMENTOS!$C$5:$C$304,A32,LANÇAMENTOS!$B$5:$B$304,"Compra")/SUMIFS(LANÇAMENTOS!$D$5:$D$304,LANÇAMENTOS!$C$5:$C$304,A32,LANÇAMENTOS!$B$5:$B$304,"Compra"),0)</f>
        <v/>
      </c>
      <c r="G32" s="20">
        <f>IFERROR(VLOOKUP(A32,ATIVOS!$A$5:$H$54,7,FALSE),0)</f>
        <v/>
      </c>
      <c r="H32" s="20">
        <f>MAX(0,E32*F32)</f>
        <v/>
      </c>
      <c r="I32" s="20">
        <f>MAX(0,E32*G32)</f>
        <v/>
      </c>
      <c r="J32" s="20">
        <f>I32-H32</f>
        <v/>
      </c>
      <c r="K32" s="23">
        <f>IFERROR(J32/H32,0)</f>
        <v/>
      </c>
      <c r="L32" s="20">
        <f>SUMIFS(LANÇAMENTOS!$F$5:$F$304,LANÇAMENTOS!$C$5:$C$304,A32,LANÇAMENTOS!$B$5:$B$304,"Dividendos")</f>
        <v/>
      </c>
    </row>
    <row r="33">
      <c r="A33" s="18" t="n"/>
      <c r="B33" s="18">
        <f>IFERROR(VLOOKUP(A33,ATIVOS!$A$5:$H$54,2,FALSE),"")</f>
        <v/>
      </c>
      <c r="C33" s="18">
        <f>IFERROR(VLOOKUP(A33,ATIVOS!$A$5:$H$54,3,FALSE),"")</f>
        <v/>
      </c>
      <c r="D33" s="18">
        <f>IFERROR(VLOOKUP(A33,ATIVOS!$A$5:$H$54,4,FALSE),"")</f>
        <v/>
      </c>
      <c r="E33" s="18">
        <f>IF(A33="","",SUMIFS(LANÇAMENTOS!$D$5:$D$304,LANÇAMENTOS!$C$5:$C$304,A33,LANÇAMENTOS!$B$5:$B$304,"Compra")-SUMIFS(LANÇAMENTOS!$D$5:$D$304,LANÇAMENTOS!$C$5:$C$304,A33,LANÇAMENTOS!$B$5:$B$304,"Venda"))</f>
        <v/>
      </c>
      <c r="F33" s="20">
        <f>IFERROR(SUMIFS(LANÇAMENTOS!$F$5:$F$304,LANÇAMENTOS!$C$5:$C$304,A33,LANÇAMENTOS!$B$5:$B$304,"Compra")/SUMIFS(LANÇAMENTOS!$D$5:$D$304,LANÇAMENTOS!$C$5:$C$304,A33,LANÇAMENTOS!$B$5:$B$304,"Compra"),0)</f>
        <v/>
      </c>
      <c r="G33" s="20">
        <f>IFERROR(VLOOKUP(A33,ATIVOS!$A$5:$H$54,7,FALSE),0)</f>
        <v/>
      </c>
      <c r="H33" s="20">
        <f>MAX(0,E33*F33)</f>
        <v/>
      </c>
      <c r="I33" s="20">
        <f>MAX(0,E33*G33)</f>
        <v/>
      </c>
      <c r="J33" s="20">
        <f>I33-H33</f>
        <v/>
      </c>
      <c r="K33" s="23">
        <f>IFERROR(J33/H33,0)</f>
        <v/>
      </c>
      <c r="L33" s="20">
        <f>SUMIFS(LANÇAMENTOS!$F$5:$F$304,LANÇAMENTOS!$C$5:$C$304,A33,LANÇAMENTOS!$B$5:$B$304,"Dividendos")</f>
        <v/>
      </c>
    </row>
    <row r="34">
      <c r="A34" s="18" t="n"/>
      <c r="B34" s="18">
        <f>IFERROR(VLOOKUP(A34,ATIVOS!$A$5:$H$54,2,FALSE),"")</f>
        <v/>
      </c>
      <c r="C34" s="18">
        <f>IFERROR(VLOOKUP(A34,ATIVOS!$A$5:$H$54,3,FALSE),"")</f>
        <v/>
      </c>
      <c r="D34" s="18">
        <f>IFERROR(VLOOKUP(A34,ATIVOS!$A$5:$H$54,4,FALSE),"")</f>
        <v/>
      </c>
      <c r="E34" s="18">
        <f>IF(A34="","",SUMIFS(LANÇAMENTOS!$D$5:$D$304,LANÇAMENTOS!$C$5:$C$304,A34,LANÇAMENTOS!$B$5:$B$304,"Compra")-SUMIFS(LANÇAMENTOS!$D$5:$D$304,LANÇAMENTOS!$C$5:$C$304,A34,LANÇAMENTOS!$B$5:$B$304,"Venda"))</f>
        <v/>
      </c>
      <c r="F34" s="20">
        <f>IFERROR(SUMIFS(LANÇAMENTOS!$F$5:$F$304,LANÇAMENTOS!$C$5:$C$304,A34,LANÇAMENTOS!$B$5:$B$304,"Compra")/SUMIFS(LANÇAMENTOS!$D$5:$D$304,LANÇAMENTOS!$C$5:$C$304,A34,LANÇAMENTOS!$B$5:$B$304,"Compra"),0)</f>
        <v/>
      </c>
      <c r="G34" s="20">
        <f>IFERROR(VLOOKUP(A34,ATIVOS!$A$5:$H$54,7,FALSE),0)</f>
        <v/>
      </c>
      <c r="H34" s="20">
        <f>MAX(0,E34*F34)</f>
        <v/>
      </c>
      <c r="I34" s="20">
        <f>MAX(0,E34*G34)</f>
        <v/>
      </c>
      <c r="J34" s="20">
        <f>I34-H34</f>
        <v/>
      </c>
      <c r="K34" s="23">
        <f>IFERROR(J34/H34,0)</f>
        <v/>
      </c>
      <c r="L34" s="20">
        <f>SUMIFS(LANÇAMENTOS!$F$5:$F$304,LANÇAMENTOS!$C$5:$C$304,A34,LANÇAMENTOS!$B$5:$B$304,"Dividendos")</f>
        <v/>
      </c>
    </row>
    <row r="35">
      <c r="A35" s="18" t="n"/>
      <c r="B35" s="18">
        <f>IFERROR(VLOOKUP(A35,ATIVOS!$A$5:$H$54,2,FALSE),"")</f>
        <v/>
      </c>
      <c r="C35" s="18">
        <f>IFERROR(VLOOKUP(A35,ATIVOS!$A$5:$H$54,3,FALSE),"")</f>
        <v/>
      </c>
      <c r="D35" s="18">
        <f>IFERROR(VLOOKUP(A35,ATIVOS!$A$5:$H$54,4,FALSE),"")</f>
        <v/>
      </c>
      <c r="E35" s="18">
        <f>IF(A35="","",SUMIFS(LANÇAMENTOS!$D$5:$D$304,LANÇAMENTOS!$C$5:$C$304,A35,LANÇAMENTOS!$B$5:$B$304,"Compra")-SUMIFS(LANÇAMENTOS!$D$5:$D$304,LANÇAMENTOS!$C$5:$C$304,A35,LANÇAMENTOS!$B$5:$B$304,"Venda"))</f>
        <v/>
      </c>
      <c r="F35" s="20">
        <f>IFERROR(SUMIFS(LANÇAMENTOS!$F$5:$F$304,LANÇAMENTOS!$C$5:$C$304,A35,LANÇAMENTOS!$B$5:$B$304,"Compra")/SUMIFS(LANÇAMENTOS!$D$5:$D$304,LANÇAMENTOS!$C$5:$C$304,A35,LANÇAMENTOS!$B$5:$B$304,"Compra"),0)</f>
        <v/>
      </c>
      <c r="G35" s="20">
        <f>IFERROR(VLOOKUP(A35,ATIVOS!$A$5:$H$54,7,FALSE),0)</f>
        <v/>
      </c>
      <c r="H35" s="20">
        <f>MAX(0,E35*F35)</f>
        <v/>
      </c>
      <c r="I35" s="20">
        <f>MAX(0,E35*G35)</f>
        <v/>
      </c>
      <c r="J35" s="20">
        <f>I35-H35</f>
        <v/>
      </c>
      <c r="K35" s="23">
        <f>IFERROR(J35/H35,0)</f>
        <v/>
      </c>
      <c r="L35" s="20">
        <f>SUMIFS(LANÇAMENTOS!$F$5:$F$304,LANÇAMENTOS!$C$5:$C$304,A35,LANÇAMENTOS!$B$5:$B$304,"Dividendos")</f>
        <v/>
      </c>
    </row>
    <row r="36">
      <c r="A36" s="18" t="n"/>
      <c r="B36" s="18">
        <f>IFERROR(VLOOKUP(A36,ATIVOS!$A$5:$H$54,2,FALSE),"")</f>
        <v/>
      </c>
      <c r="C36" s="18">
        <f>IFERROR(VLOOKUP(A36,ATIVOS!$A$5:$H$54,3,FALSE),"")</f>
        <v/>
      </c>
      <c r="D36" s="18">
        <f>IFERROR(VLOOKUP(A36,ATIVOS!$A$5:$H$54,4,FALSE),"")</f>
        <v/>
      </c>
      <c r="E36" s="18">
        <f>IF(A36="","",SUMIFS(LANÇAMENTOS!$D$5:$D$304,LANÇAMENTOS!$C$5:$C$304,A36,LANÇAMENTOS!$B$5:$B$304,"Compra")-SUMIFS(LANÇAMENTOS!$D$5:$D$304,LANÇAMENTOS!$C$5:$C$304,A36,LANÇAMENTOS!$B$5:$B$304,"Venda"))</f>
        <v/>
      </c>
      <c r="F36" s="20">
        <f>IFERROR(SUMIFS(LANÇAMENTOS!$F$5:$F$304,LANÇAMENTOS!$C$5:$C$304,A36,LANÇAMENTOS!$B$5:$B$304,"Compra")/SUMIFS(LANÇAMENTOS!$D$5:$D$304,LANÇAMENTOS!$C$5:$C$304,A36,LANÇAMENTOS!$B$5:$B$304,"Compra"),0)</f>
        <v/>
      </c>
      <c r="G36" s="20">
        <f>IFERROR(VLOOKUP(A36,ATIVOS!$A$5:$H$54,7,FALSE),0)</f>
        <v/>
      </c>
      <c r="H36" s="20">
        <f>MAX(0,E36*F36)</f>
        <v/>
      </c>
      <c r="I36" s="20">
        <f>MAX(0,E36*G36)</f>
        <v/>
      </c>
      <c r="J36" s="20">
        <f>I36-H36</f>
        <v/>
      </c>
      <c r="K36" s="23">
        <f>IFERROR(J36/H36,0)</f>
        <v/>
      </c>
      <c r="L36" s="20">
        <f>SUMIFS(LANÇAMENTOS!$F$5:$F$304,LANÇAMENTOS!$C$5:$C$304,A36,LANÇAMENTOS!$B$5:$B$304,"Dividendos")</f>
        <v/>
      </c>
    </row>
    <row r="37">
      <c r="A37" s="18" t="n"/>
      <c r="B37" s="18">
        <f>IFERROR(VLOOKUP(A37,ATIVOS!$A$5:$H$54,2,FALSE),"")</f>
        <v/>
      </c>
      <c r="C37" s="18">
        <f>IFERROR(VLOOKUP(A37,ATIVOS!$A$5:$H$54,3,FALSE),"")</f>
        <v/>
      </c>
      <c r="D37" s="18">
        <f>IFERROR(VLOOKUP(A37,ATIVOS!$A$5:$H$54,4,FALSE),"")</f>
        <v/>
      </c>
      <c r="E37" s="18">
        <f>IF(A37="","",SUMIFS(LANÇAMENTOS!$D$5:$D$304,LANÇAMENTOS!$C$5:$C$304,A37,LANÇAMENTOS!$B$5:$B$304,"Compra")-SUMIFS(LANÇAMENTOS!$D$5:$D$304,LANÇAMENTOS!$C$5:$C$304,A37,LANÇAMENTOS!$B$5:$B$304,"Venda"))</f>
        <v/>
      </c>
      <c r="F37" s="20">
        <f>IFERROR(SUMIFS(LANÇAMENTOS!$F$5:$F$304,LANÇAMENTOS!$C$5:$C$304,A37,LANÇAMENTOS!$B$5:$B$304,"Compra")/SUMIFS(LANÇAMENTOS!$D$5:$D$304,LANÇAMENTOS!$C$5:$C$304,A37,LANÇAMENTOS!$B$5:$B$304,"Compra"),0)</f>
        <v/>
      </c>
      <c r="G37" s="20">
        <f>IFERROR(VLOOKUP(A37,ATIVOS!$A$5:$H$54,7,FALSE),0)</f>
        <v/>
      </c>
      <c r="H37" s="20">
        <f>MAX(0,E37*F37)</f>
        <v/>
      </c>
      <c r="I37" s="20">
        <f>MAX(0,E37*G37)</f>
        <v/>
      </c>
      <c r="J37" s="20">
        <f>I37-H37</f>
        <v/>
      </c>
      <c r="K37" s="23">
        <f>IFERROR(J37/H37,0)</f>
        <v/>
      </c>
      <c r="L37" s="20">
        <f>SUMIFS(LANÇAMENTOS!$F$5:$F$304,LANÇAMENTOS!$C$5:$C$304,A37,LANÇAMENTOS!$B$5:$B$304,"Dividendos")</f>
        <v/>
      </c>
    </row>
    <row r="38">
      <c r="A38" s="18" t="n"/>
      <c r="B38" s="18">
        <f>IFERROR(VLOOKUP(A38,ATIVOS!$A$5:$H$54,2,FALSE),"")</f>
        <v/>
      </c>
      <c r="C38" s="18">
        <f>IFERROR(VLOOKUP(A38,ATIVOS!$A$5:$H$54,3,FALSE),"")</f>
        <v/>
      </c>
      <c r="D38" s="18">
        <f>IFERROR(VLOOKUP(A38,ATIVOS!$A$5:$H$54,4,FALSE),"")</f>
        <v/>
      </c>
      <c r="E38" s="18">
        <f>IF(A38="","",SUMIFS(LANÇAMENTOS!$D$5:$D$304,LANÇAMENTOS!$C$5:$C$304,A38,LANÇAMENTOS!$B$5:$B$304,"Compra")-SUMIFS(LANÇAMENTOS!$D$5:$D$304,LANÇAMENTOS!$C$5:$C$304,A38,LANÇAMENTOS!$B$5:$B$304,"Venda"))</f>
        <v/>
      </c>
      <c r="F38" s="20">
        <f>IFERROR(SUMIFS(LANÇAMENTOS!$F$5:$F$304,LANÇAMENTOS!$C$5:$C$304,A38,LANÇAMENTOS!$B$5:$B$304,"Compra")/SUMIFS(LANÇAMENTOS!$D$5:$D$304,LANÇAMENTOS!$C$5:$C$304,A38,LANÇAMENTOS!$B$5:$B$304,"Compra"),0)</f>
        <v/>
      </c>
      <c r="G38" s="20">
        <f>IFERROR(VLOOKUP(A38,ATIVOS!$A$5:$H$54,7,FALSE),0)</f>
        <v/>
      </c>
      <c r="H38" s="20">
        <f>MAX(0,E38*F38)</f>
        <v/>
      </c>
      <c r="I38" s="20">
        <f>MAX(0,E38*G38)</f>
        <v/>
      </c>
      <c r="J38" s="20">
        <f>I38-H38</f>
        <v/>
      </c>
      <c r="K38" s="23">
        <f>IFERROR(J38/H38,0)</f>
        <v/>
      </c>
      <c r="L38" s="20">
        <f>SUMIFS(LANÇAMENTOS!$F$5:$F$304,LANÇAMENTOS!$C$5:$C$304,A38,LANÇAMENTOS!$B$5:$B$304,"Dividendos")</f>
        <v/>
      </c>
    </row>
    <row r="39">
      <c r="A39" s="18" t="n"/>
      <c r="B39" s="18">
        <f>IFERROR(VLOOKUP(A39,ATIVOS!$A$5:$H$54,2,FALSE),"")</f>
        <v/>
      </c>
      <c r="C39" s="18">
        <f>IFERROR(VLOOKUP(A39,ATIVOS!$A$5:$H$54,3,FALSE),"")</f>
        <v/>
      </c>
      <c r="D39" s="18">
        <f>IFERROR(VLOOKUP(A39,ATIVOS!$A$5:$H$54,4,FALSE),"")</f>
        <v/>
      </c>
      <c r="E39" s="18">
        <f>IF(A39="","",SUMIFS(LANÇAMENTOS!$D$5:$D$304,LANÇAMENTOS!$C$5:$C$304,A39,LANÇAMENTOS!$B$5:$B$304,"Compra")-SUMIFS(LANÇAMENTOS!$D$5:$D$304,LANÇAMENTOS!$C$5:$C$304,A39,LANÇAMENTOS!$B$5:$B$304,"Venda"))</f>
        <v/>
      </c>
      <c r="F39" s="20">
        <f>IFERROR(SUMIFS(LANÇAMENTOS!$F$5:$F$304,LANÇAMENTOS!$C$5:$C$304,A39,LANÇAMENTOS!$B$5:$B$304,"Compra")/SUMIFS(LANÇAMENTOS!$D$5:$D$304,LANÇAMENTOS!$C$5:$C$304,A39,LANÇAMENTOS!$B$5:$B$304,"Compra"),0)</f>
        <v/>
      </c>
      <c r="G39" s="20">
        <f>IFERROR(VLOOKUP(A39,ATIVOS!$A$5:$H$54,7,FALSE),0)</f>
        <v/>
      </c>
      <c r="H39" s="20">
        <f>MAX(0,E39*F39)</f>
        <v/>
      </c>
      <c r="I39" s="20">
        <f>MAX(0,E39*G39)</f>
        <v/>
      </c>
      <c r="J39" s="20">
        <f>I39-H39</f>
        <v/>
      </c>
      <c r="K39" s="23">
        <f>IFERROR(J39/H39,0)</f>
        <v/>
      </c>
      <c r="L39" s="20">
        <f>SUMIFS(LANÇAMENTOS!$F$5:$F$304,LANÇAMENTOS!$C$5:$C$304,A39,LANÇAMENTOS!$B$5:$B$304,"Dividendos")</f>
        <v/>
      </c>
    </row>
    <row r="40">
      <c r="A40" s="18" t="n"/>
      <c r="B40" s="18">
        <f>IFERROR(VLOOKUP(A40,ATIVOS!$A$5:$H$54,2,FALSE),"")</f>
        <v/>
      </c>
      <c r="C40" s="18">
        <f>IFERROR(VLOOKUP(A40,ATIVOS!$A$5:$H$54,3,FALSE),"")</f>
        <v/>
      </c>
      <c r="D40" s="18">
        <f>IFERROR(VLOOKUP(A40,ATIVOS!$A$5:$H$54,4,FALSE),"")</f>
        <v/>
      </c>
      <c r="E40" s="18">
        <f>IF(A40="","",SUMIFS(LANÇAMENTOS!$D$5:$D$304,LANÇAMENTOS!$C$5:$C$304,A40,LANÇAMENTOS!$B$5:$B$304,"Compra")-SUMIFS(LANÇAMENTOS!$D$5:$D$304,LANÇAMENTOS!$C$5:$C$304,A40,LANÇAMENTOS!$B$5:$B$304,"Venda"))</f>
        <v/>
      </c>
      <c r="F40" s="20">
        <f>IFERROR(SUMIFS(LANÇAMENTOS!$F$5:$F$304,LANÇAMENTOS!$C$5:$C$304,A40,LANÇAMENTOS!$B$5:$B$304,"Compra")/SUMIFS(LANÇAMENTOS!$D$5:$D$304,LANÇAMENTOS!$C$5:$C$304,A40,LANÇAMENTOS!$B$5:$B$304,"Compra"),0)</f>
        <v/>
      </c>
      <c r="G40" s="20">
        <f>IFERROR(VLOOKUP(A40,ATIVOS!$A$5:$H$54,7,FALSE),0)</f>
        <v/>
      </c>
      <c r="H40" s="20">
        <f>MAX(0,E40*F40)</f>
        <v/>
      </c>
      <c r="I40" s="20">
        <f>MAX(0,E40*G40)</f>
        <v/>
      </c>
      <c r="J40" s="20">
        <f>I40-H40</f>
        <v/>
      </c>
      <c r="K40" s="23">
        <f>IFERROR(J40/H40,0)</f>
        <v/>
      </c>
      <c r="L40" s="20">
        <f>SUMIFS(LANÇAMENTOS!$F$5:$F$304,LANÇAMENTOS!$C$5:$C$304,A40,LANÇAMENTOS!$B$5:$B$304,"Dividendos")</f>
        <v/>
      </c>
    </row>
    <row r="41">
      <c r="A41" s="18" t="n"/>
      <c r="B41" s="18">
        <f>IFERROR(VLOOKUP(A41,ATIVOS!$A$5:$H$54,2,FALSE),"")</f>
        <v/>
      </c>
      <c r="C41" s="18">
        <f>IFERROR(VLOOKUP(A41,ATIVOS!$A$5:$H$54,3,FALSE),"")</f>
        <v/>
      </c>
      <c r="D41" s="18">
        <f>IFERROR(VLOOKUP(A41,ATIVOS!$A$5:$H$54,4,FALSE),"")</f>
        <v/>
      </c>
      <c r="E41" s="18">
        <f>IF(A41="","",SUMIFS(LANÇAMENTOS!$D$5:$D$304,LANÇAMENTOS!$C$5:$C$304,A41,LANÇAMENTOS!$B$5:$B$304,"Compra")-SUMIFS(LANÇAMENTOS!$D$5:$D$304,LANÇAMENTOS!$C$5:$C$304,A41,LANÇAMENTOS!$B$5:$B$304,"Venda"))</f>
        <v/>
      </c>
      <c r="F41" s="20">
        <f>IFERROR(SUMIFS(LANÇAMENTOS!$F$5:$F$304,LANÇAMENTOS!$C$5:$C$304,A41,LANÇAMENTOS!$B$5:$B$304,"Compra")/SUMIFS(LANÇAMENTOS!$D$5:$D$304,LANÇAMENTOS!$C$5:$C$304,A41,LANÇAMENTOS!$B$5:$B$304,"Compra"),0)</f>
        <v/>
      </c>
      <c r="G41" s="20">
        <f>IFERROR(VLOOKUP(A41,ATIVOS!$A$5:$H$54,7,FALSE),0)</f>
        <v/>
      </c>
      <c r="H41" s="20">
        <f>MAX(0,E41*F41)</f>
        <v/>
      </c>
      <c r="I41" s="20">
        <f>MAX(0,E41*G41)</f>
        <v/>
      </c>
      <c r="J41" s="20">
        <f>I41-H41</f>
        <v/>
      </c>
      <c r="K41" s="23">
        <f>IFERROR(J41/H41,0)</f>
        <v/>
      </c>
      <c r="L41" s="20">
        <f>SUMIFS(LANÇAMENTOS!$F$5:$F$304,LANÇAMENTOS!$C$5:$C$304,A41,LANÇAMENTOS!$B$5:$B$304,"Dividendos")</f>
        <v/>
      </c>
    </row>
    <row r="42">
      <c r="A42" s="18" t="n"/>
      <c r="B42" s="18">
        <f>IFERROR(VLOOKUP(A42,ATIVOS!$A$5:$H$54,2,FALSE),"")</f>
        <v/>
      </c>
      <c r="C42" s="18">
        <f>IFERROR(VLOOKUP(A42,ATIVOS!$A$5:$H$54,3,FALSE),"")</f>
        <v/>
      </c>
      <c r="D42" s="18">
        <f>IFERROR(VLOOKUP(A42,ATIVOS!$A$5:$H$54,4,FALSE),"")</f>
        <v/>
      </c>
      <c r="E42" s="18">
        <f>IF(A42="","",SUMIFS(LANÇAMENTOS!$D$5:$D$304,LANÇAMENTOS!$C$5:$C$304,A42,LANÇAMENTOS!$B$5:$B$304,"Compra")-SUMIFS(LANÇAMENTOS!$D$5:$D$304,LANÇAMENTOS!$C$5:$C$304,A42,LANÇAMENTOS!$B$5:$B$304,"Venda"))</f>
        <v/>
      </c>
      <c r="F42" s="20">
        <f>IFERROR(SUMIFS(LANÇAMENTOS!$F$5:$F$304,LANÇAMENTOS!$C$5:$C$304,A42,LANÇAMENTOS!$B$5:$B$304,"Compra")/SUMIFS(LANÇAMENTOS!$D$5:$D$304,LANÇAMENTOS!$C$5:$C$304,A42,LANÇAMENTOS!$B$5:$B$304,"Compra"),0)</f>
        <v/>
      </c>
      <c r="G42" s="20">
        <f>IFERROR(VLOOKUP(A42,ATIVOS!$A$5:$H$54,7,FALSE),0)</f>
        <v/>
      </c>
      <c r="H42" s="20">
        <f>MAX(0,E42*F42)</f>
        <v/>
      </c>
      <c r="I42" s="20">
        <f>MAX(0,E42*G42)</f>
        <v/>
      </c>
      <c r="J42" s="20">
        <f>I42-H42</f>
        <v/>
      </c>
      <c r="K42" s="23">
        <f>IFERROR(J42/H42,0)</f>
        <v/>
      </c>
      <c r="L42" s="20">
        <f>SUMIFS(LANÇAMENTOS!$F$5:$F$304,LANÇAMENTOS!$C$5:$C$304,A42,LANÇAMENTOS!$B$5:$B$304,"Dividendos")</f>
        <v/>
      </c>
    </row>
    <row r="43">
      <c r="A43" s="18" t="n"/>
      <c r="B43" s="18">
        <f>IFERROR(VLOOKUP(A43,ATIVOS!$A$5:$H$54,2,FALSE),"")</f>
        <v/>
      </c>
      <c r="C43" s="18">
        <f>IFERROR(VLOOKUP(A43,ATIVOS!$A$5:$H$54,3,FALSE),"")</f>
        <v/>
      </c>
      <c r="D43" s="18">
        <f>IFERROR(VLOOKUP(A43,ATIVOS!$A$5:$H$54,4,FALSE),"")</f>
        <v/>
      </c>
      <c r="E43" s="18">
        <f>IF(A43="","",SUMIFS(LANÇAMENTOS!$D$5:$D$304,LANÇAMENTOS!$C$5:$C$304,A43,LANÇAMENTOS!$B$5:$B$304,"Compra")-SUMIFS(LANÇAMENTOS!$D$5:$D$304,LANÇAMENTOS!$C$5:$C$304,A43,LANÇAMENTOS!$B$5:$B$304,"Venda"))</f>
        <v/>
      </c>
      <c r="F43" s="20">
        <f>IFERROR(SUMIFS(LANÇAMENTOS!$F$5:$F$304,LANÇAMENTOS!$C$5:$C$304,A43,LANÇAMENTOS!$B$5:$B$304,"Compra")/SUMIFS(LANÇAMENTOS!$D$5:$D$304,LANÇAMENTOS!$C$5:$C$304,A43,LANÇAMENTOS!$B$5:$B$304,"Compra"),0)</f>
        <v/>
      </c>
      <c r="G43" s="20">
        <f>IFERROR(VLOOKUP(A43,ATIVOS!$A$5:$H$54,7,FALSE),0)</f>
        <v/>
      </c>
      <c r="H43" s="20">
        <f>MAX(0,E43*F43)</f>
        <v/>
      </c>
      <c r="I43" s="20">
        <f>MAX(0,E43*G43)</f>
        <v/>
      </c>
      <c r="J43" s="20">
        <f>I43-H43</f>
        <v/>
      </c>
      <c r="K43" s="23">
        <f>IFERROR(J43/H43,0)</f>
        <v/>
      </c>
      <c r="L43" s="20">
        <f>SUMIFS(LANÇAMENTOS!$F$5:$F$304,LANÇAMENTOS!$C$5:$C$304,A43,LANÇAMENTOS!$B$5:$B$304,"Dividendos")</f>
        <v/>
      </c>
    </row>
    <row r="44">
      <c r="A44" s="18" t="n"/>
      <c r="B44" s="18">
        <f>IFERROR(VLOOKUP(A44,ATIVOS!$A$5:$H$54,2,FALSE),"")</f>
        <v/>
      </c>
      <c r="C44" s="18">
        <f>IFERROR(VLOOKUP(A44,ATIVOS!$A$5:$H$54,3,FALSE),"")</f>
        <v/>
      </c>
      <c r="D44" s="18">
        <f>IFERROR(VLOOKUP(A44,ATIVOS!$A$5:$H$54,4,FALSE),"")</f>
        <v/>
      </c>
      <c r="E44" s="18">
        <f>IF(A44="","",SUMIFS(LANÇAMENTOS!$D$5:$D$304,LANÇAMENTOS!$C$5:$C$304,A44,LANÇAMENTOS!$B$5:$B$304,"Compra")-SUMIFS(LANÇAMENTOS!$D$5:$D$304,LANÇAMENTOS!$C$5:$C$304,A44,LANÇAMENTOS!$B$5:$B$304,"Venda"))</f>
        <v/>
      </c>
      <c r="F44" s="20">
        <f>IFERROR(SUMIFS(LANÇAMENTOS!$F$5:$F$304,LANÇAMENTOS!$C$5:$C$304,A44,LANÇAMENTOS!$B$5:$B$304,"Compra")/SUMIFS(LANÇAMENTOS!$D$5:$D$304,LANÇAMENTOS!$C$5:$C$304,A44,LANÇAMENTOS!$B$5:$B$304,"Compra"),0)</f>
        <v/>
      </c>
      <c r="G44" s="20">
        <f>IFERROR(VLOOKUP(A44,ATIVOS!$A$5:$H$54,7,FALSE),0)</f>
        <v/>
      </c>
      <c r="H44" s="20">
        <f>MAX(0,E44*F44)</f>
        <v/>
      </c>
      <c r="I44" s="20">
        <f>MAX(0,E44*G44)</f>
        <v/>
      </c>
      <c r="J44" s="20">
        <f>I44-H44</f>
        <v/>
      </c>
      <c r="K44" s="23">
        <f>IFERROR(J44/H44,0)</f>
        <v/>
      </c>
      <c r="L44" s="20">
        <f>SUMIFS(LANÇAMENTOS!$F$5:$F$304,LANÇAMENTOS!$C$5:$C$304,A44,LANÇAMENTOS!$B$5:$B$304,"Dividendos")</f>
        <v/>
      </c>
    </row>
    <row r="45">
      <c r="A45" s="18" t="n"/>
      <c r="B45" s="18">
        <f>IFERROR(VLOOKUP(A45,ATIVOS!$A$5:$H$54,2,FALSE),"")</f>
        <v/>
      </c>
      <c r="C45" s="18">
        <f>IFERROR(VLOOKUP(A45,ATIVOS!$A$5:$H$54,3,FALSE),"")</f>
        <v/>
      </c>
      <c r="D45" s="18">
        <f>IFERROR(VLOOKUP(A45,ATIVOS!$A$5:$H$54,4,FALSE),"")</f>
        <v/>
      </c>
      <c r="E45" s="18">
        <f>IF(A45="","",SUMIFS(LANÇAMENTOS!$D$5:$D$304,LANÇAMENTOS!$C$5:$C$304,A45,LANÇAMENTOS!$B$5:$B$304,"Compra")-SUMIFS(LANÇAMENTOS!$D$5:$D$304,LANÇAMENTOS!$C$5:$C$304,A45,LANÇAMENTOS!$B$5:$B$304,"Venda"))</f>
        <v/>
      </c>
      <c r="F45" s="20">
        <f>IFERROR(SUMIFS(LANÇAMENTOS!$F$5:$F$304,LANÇAMENTOS!$C$5:$C$304,A45,LANÇAMENTOS!$B$5:$B$304,"Compra")/SUMIFS(LANÇAMENTOS!$D$5:$D$304,LANÇAMENTOS!$C$5:$C$304,A45,LANÇAMENTOS!$B$5:$B$304,"Compra"),0)</f>
        <v/>
      </c>
      <c r="G45" s="20">
        <f>IFERROR(VLOOKUP(A45,ATIVOS!$A$5:$H$54,7,FALSE),0)</f>
        <v/>
      </c>
      <c r="H45" s="20">
        <f>MAX(0,E45*F45)</f>
        <v/>
      </c>
      <c r="I45" s="20">
        <f>MAX(0,E45*G45)</f>
        <v/>
      </c>
      <c r="J45" s="20">
        <f>I45-H45</f>
        <v/>
      </c>
      <c r="K45" s="23">
        <f>IFERROR(J45/H45,0)</f>
        <v/>
      </c>
      <c r="L45" s="20">
        <f>SUMIFS(LANÇAMENTOS!$F$5:$F$304,LANÇAMENTOS!$C$5:$C$304,A45,LANÇAMENTOS!$B$5:$B$304,"Dividendos")</f>
        <v/>
      </c>
    </row>
    <row r="46">
      <c r="A46" s="18" t="n"/>
      <c r="B46" s="18">
        <f>IFERROR(VLOOKUP(A46,ATIVOS!$A$5:$H$54,2,FALSE),"")</f>
        <v/>
      </c>
      <c r="C46" s="18">
        <f>IFERROR(VLOOKUP(A46,ATIVOS!$A$5:$H$54,3,FALSE),"")</f>
        <v/>
      </c>
      <c r="D46" s="18">
        <f>IFERROR(VLOOKUP(A46,ATIVOS!$A$5:$H$54,4,FALSE),"")</f>
        <v/>
      </c>
      <c r="E46" s="18">
        <f>IF(A46="","",SUMIFS(LANÇAMENTOS!$D$5:$D$304,LANÇAMENTOS!$C$5:$C$304,A46,LANÇAMENTOS!$B$5:$B$304,"Compra")-SUMIFS(LANÇAMENTOS!$D$5:$D$304,LANÇAMENTOS!$C$5:$C$304,A46,LANÇAMENTOS!$B$5:$B$304,"Venda"))</f>
        <v/>
      </c>
      <c r="F46" s="20">
        <f>IFERROR(SUMIFS(LANÇAMENTOS!$F$5:$F$304,LANÇAMENTOS!$C$5:$C$304,A46,LANÇAMENTOS!$B$5:$B$304,"Compra")/SUMIFS(LANÇAMENTOS!$D$5:$D$304,LANÇAMENTOS!$C$5:$C$304,A46,LANÇAMENTOS!$B$5:$B$304,"Compra"),0)</f>
        <v/>
      </c>
      <c r="G46" s="20">
        <f>IFERROR(VLOOKUP(A46,ATIVOS!$A$5:$H$54,7,FALSE),0)</f>
        <v/>
      </c>
      <c r="H46" s="20">
        <f>MAX(0,E46*F46)</f>
        <v/>
      </c>
      <c r="I46" s="20">
        <f>MAX(0,E46*G46)</f>
        <v/>
      </c>
      <c r="J46" s="20">
        <f>I46-H46</f>
        <v/>
      </c>
      <c r="K46" s="23">
        <f>IFERROR(J46/H46,0)</f>
        <v/>
      </c>
      <c r="L46" s="20">
        <f>SUMIFS(LANÇAMENTOS!$F$5:$F$304,LANÇAMENTOS!$C$5:$C$304,A46,LANÇAMENTOS!$B$5:$B$304,"Dividendos")</f>
        <v/>
      </c>
    </row>
    <row r="47">
      <c r="A47" s="18" t="n"/>
      <c r="B47" s="18">
        <f>IFERROR(VLOOKUP(A47,ATIVOS!$A$5:$H$54,2,FALSE),"")</f>
        <v/>
      </c>
      <c r="C47" s="18">
        <f>IFERROR(VLOOKUP(A47,ATIVOS!$A$5:$H$54,3,FALSE),"")</f>
        <v/>
      </c>
      <c r="D47" s="18">
        <f>IFERROR(VLOOKUP(A47,ATIVOS!$A$5:$H$54,4,FALSE),"")</f>
        <v/>
      </c>
      <c r="E47" s="18">
        <f>IF(A47="","",SUMIFS(LANÇAMENTOS!$D$5:$D$304,LANÇAMENTOS!$C$5:$C$304,A47,LANÇAMENTOS!$B$5:$B$304,"Compra")-SUMIFS(LANÇAMENTOS!$D$5:$D$304,LANÇAMENTOS!$C$5:$C$304,A47,LANÇAMENTOS!$B$5:$B$304,"Venda"))</f>
        <v/>
      </c>
      <c r="F47" s="20">
        <f>IFERROR(SUMIFS(LANÇAMENTOS!$F$5:$F$304,LANÇAMENTOS!$C$5:$C$304,A47,LANÇAMENTOS!$B$5:$B$304,"Compra")/SUMIFS(LANÇAMENTOS!$D$5:$D$304,LANÇAMENTOS!$C$5:$C$304,A47,LANÇAMENTOS!$B$5:$B$304,"Compra"),0)</f>
        <v/>
      </c>
      <c r="G47" s="20">
        <f>IFERROR(VLOOKUP(A47,ATIVOS!$A$5:$H$54,7,FALSE),0)</f>
        <v/>
      </c>
      <c r="H47" s="20">
        <f>MAX(0,E47*F47)</f>
        <v/>
      </c>
      <c r="I47" s="20">
        <f>MAX(0,E47*G47)</f>
        <v/>
      </c>
      <c r="J47" s="20">
        <f>I47-H47</f>
        <v/>
      </c>
      <c r="K47" s="23">
        <f>IFERROR(J47/H47,0)</f>
        <v/>
      </c>
      <c r="L47" s="20">
        <f>SUMIFS(LANÇAMENTOS!$F$5:$F$304,LANÇAMENTOS!$C$5:$C$304,A47,LANÇAMENTOS!$B$5:$B$304,"Dividendos")</f>
        <v/>
      </c>
    </row>
    <row r="48">
      <c r="A48" s="18" t="n"/>
      <c r="B48" s="18">
        <f>IFERROR(VLOOKUP(A48,ATIVOS!$A$5:$H$54,2,FALSE),"")</f>
        <v/>
      </c>
      <c r="C48" s="18">
        <f>IFERROR(VLOOKUP(A48,ATIVOS!$A$5:$H$54,3,FALSE),"")</f>
        <v/>
      </c>
      <c r="D48" s="18">
        <f>IFERROR(VLOOKUP(A48,ATIVOS!$A$5:$H$54,4,FALSE),"")</f>
        <v/>
      </c>
      <c r="E48" s="18">
        <f>IF(A48="","",SUMIFS(LANÇAMENTOS!$D$5:$D$304,LANÇAMENTOS!$C$5:$C$304,A48,LANÇAMENTOS!$B$5:$B$304,"Compra")-SUMIFS(LANÇAMENTOS!$D$5:$D$304,LANÇAMENTOS!$C$5:$C$304,A48,LANÇAMENTOS!$B$5:$B$304,"Venda"))</f>
        <v/>
      </c>
      <c r="F48" s="20">
        <f>IFERROR(SUMIFS(LANÇAMENTOS!$F$5:$F$304,LANÇAMENTOS!$C$5:$C$304,A48,LANÇAMENTOS!$B$5:$B$304,"Compra")/SUMIFS(LANÇAMENTOS!$D$5:$D$304,LANÇAMENTOS!$C$5:$C$304,A48,LANÇAMENTOS!$B$5:$B$304,"Compra"),0)</f>
        <v/>
      </c>
      <c r="G48" s="20">
        <f>IFERROR(VLOOKUP(A48,ATIVOS!$A$5:$H$54,7,FALSE),0)</f>
        <v/>
      </c>
      <c r="H48" s="20">
        <f>MAX(0,E48*F48)</f>
        <v/>
      </c>
      <c r="I48" s="20">
        <f>MAX(0,E48*G48)</f>
        <v/>
      </c>
      <c r="J48" s="20">
        <f>I48-H48</f>
        <v/>
      </c>
      <c r="K48" s="23">
        <f>IFERROR(J48/H48,0)</f>
        <v/>
      </c>
      <c r="L48" s="20">
        <f>SUMIFS(LANÇAMENTOS!$F$5:$F$304,LANÇAMENTOS!$C$5:$C$304,A48,LANÇAMENTOS!$B$5:$B$304,"Dividendos")</f>
        <v/>
      </c>
    </row>
    <row r="49">
      <c r="A49" s="18" t="n"/>
      <c r="B49" s="18">
        <f>IFERROR(VLOOKUP(A49,ATIVOS!$A$5:$H$54,2,FALSE),"")</f>
        <v/>
      </c>
      <c r="C49" s="18">
        <f>IFERROR(VLOOKUP(A49,ATIVOS!$A$5:$H$54,3,FALSE),"")</f>
        <v/>
      </c>
      <c r="D49" s="18">
        <f>IFERROR(VLOOKUP(A49,ATIVOS!$A$5:$H$54,4,FALSE),"")</f>
        <v/>
      </c>
      <c r="E49" s="18">
        <f>IF(A49="","",SUMIFS(LANÇAMENTOS!$D$5:$D$304,LANÇAMENTOS!$C$5:$C$304,A49,LANÇAMENTOS!$B$5:$B$304,"Compra")-SUMIFS(LANÇAMENTOS!$D$5:$D$304,LANÇAMENTOS!$C$5:$C$304,A49,LANÇAMENTOS!$B$5:$B$304,"Venda"))</f>
        <v/>
      </c>
      <c r="F49" s="20">
        <f>IFERROR(SUMIFS(LANÇAMENTOS!$F$5:$F$304,LANÇAMENTOS!$C$5:$C$304,A49,LANÇAMENTOS!$B$5:$B$304,"Compra")/SUMIFS(LANÇAMENTOS!$D$5:$D$304,LANÇAMENTOS!$C$5:$C$304,A49,LANÇAMENTOS!$B$5:$B$304,"Compra"),0)</f>
        <v/>
      </c>
      <c r="G49" s="20">
        <f>IFERROR(VLOOKUP(A49,ATIVOS!$A$5:$H$54,7,FALSE),0)</f>
        <v/>
      </c>
      <c r="H49" s="20">
        <f>MAX(0,E49*F49)</f>
        <v/>
      </c>
      <c r="I49" s="20">
        <f>MAX(0,E49*G49)</f>
        <v/>
      </c>
      <c r="J49" s="20">
        <f>I49-H49</f>
        <v/>
      </c>
      <c r="K49" s="23">
        <f>IFERROR(J49/H49,0)</f>
        <v/>
      </c>
      <c r="L49" s="20">
        <f>SUMIFS(LANÇAMENTOS!$F$5:$F$304,LANÇAMENTOS!$C$5:$C$304,A49,LANÇAMENTOS!$B$5:$B$304,"Dividendos")</f>
        <v/>
      </c>
    </row>
    <row r="50">
      <c r="A50" s="18" t="n"/>
      <c r="B50" s="18">
        <f>IFERROR(VLOOKUP(A50,ATIVOS!$A$5:$H$54,2,FALSE),"")</f>
        <v/>
      </c>
      <c r="C50" s="18">
        <f>IFERROR(VLOOKUP(A50,ATIVOS!$A$5:$H$54,3,FALSE),"")</f>
        <v/>
      </c>
      <c r="D50" s="18">
        <f>IFERROR(VLOOKUP(A50,ATIVOS!$A$5:$H$54,4,FALSE),"")</f>
        <v/>
      </c>
      <c r="E50" s="18">
        <f>IF(A50="","",SUMIFS(LANÇAMENTOS!$D$5:$D$304,LANÇAMENTOS!$C$5:$C$304,A50,LANÇAMENTOS!$B$5:$B$304,"Compra")-SUMIFS(LANÇAMENTOS!$D$5:$D$304,LANÇAMENTOS!$C$5:$C$304,A50,LANÇAMENTOS!$B$5:$B$304,"Venda"))</f>
        <v/>
      </c>
      <c r="F50" s="20">
        <f>IFERROR(SUMIFS(LANÇAMENTOS!$F$5:$F$304,LANÇAMENTOS!$C$5:$C$304,A50,LANÇAMENTOS!$B$5:$B$304,"Compra")/SUMIFS(LANÇAMENTOS!$D$5:$D$304,LANÇAMENTOS!$C$5:$C$304,A50,LANÇAMENTOS!$B$5:$B$304,"Compra"),0)</f>
        <v/>
      </c>
      <c r="G50" s="20">
        <f>IFERROR(VLOOKUP(A50,ATIVOS!$A$5:$H$54,7,FALSE),0)</f>
        <v/>
      </c>
      <c r="H50" s="20">
        <f>MAX(0,E50*F50)</f>
        <v/>
      </c>
      <c r="I50" s="20">
        <f>MAX(0,E50*G50)</f>
        <v/>
      </c>
      <c r="J50" s="20">
        <f>I50-H50</f>
        <v/>
      </c>
      <c r="K50" s="23">
        <f>IFERROR(J50/H50,0)</f>
        <v/>
      </c>
      <c r="L50" s="20">
        <f>SUMIFS(LANÇAMENTOS!$F$5:$F$304,LANÇAMENTOS!$C$5:$C$304,A50,LANÇAMENTOS!$B$5:$B$304,"Dividendos")</f>
        <v/>
      </c>
    </row>
    <row r="51">
      <c r="A51" s="18" t="n"/>
      <c r="B51" s="18">
        <f>IFERROR(VLOOKUP(A51,ATIVOS!$A$5:$H$54,2,FALSE),"")</f>
        <v/>
      </c>
      <c r="C51" s="18">
        <f>IFERROR(VLOOKUP(A51,ATIVOS!$A$5:$H$54,3,FALSE),"")</f>
        <v/>
      </c>
      <c r="D51" s="18">
        <f>IFERROR(VLOOKUP(A51,ATIVOS!$A$5:$H$54,4,FALSE),"")</f>
        <v/>
      </c>
      <c r="E51" s="18">
        <f>IF(A51="","",SUMIFS(LANÇAMENTOS!$D$5:$D$304,LANÇAMENTOS!$C$5:$C$304,A51,LANÇAMENTOS!$B$5:$B$304,"Compra")-SUMIFS(LANÇAMENTOS!$D$5:$D$304,LANÇAMENTOS!$C$5:$C$304,A51,LANÇAMENTOS!$B$5:$B$304,"Venda"))</f>
        <v/>
      </c>
      <c r="F51" s="20">
        <f>IFERROR(SUMIFS(LANÇAMENTOS!$F$5:$F$304,LANÇAMENTOS!$C$5:$C$304,A51,LANÇAMENTOS!$B$5:$B$304,"Compra")/SUMIFS(LANÇAMENTOS!$D$5:$D$304,LANÇAMENTOS!$C$5:$C$304,A51,LANÇAMENTOS!$B$5:$B$304,"Compra"),0)</f>
        <v/>
      </c>
      <c r="G51" s="20">
        <f>IFERROR(VLOOKUP(A51,ATIVOS!$A$5:$H$54,7,FALSE),0)</f>
        <v/>
      </c>
      <c r="H51" s="20">
        <f>MAX(0,E51*F51)</f>
        <v/>
      </c>
      <c r="I51" s="20">
        <f>MAX(0,E51*G51)</f>
        <v/>
      </c>
      <c r="J51" s="20">
        <f>I51-H51</f>
        <v/>
      </c>
      <c r="K51" s="23">
        <f>IFERROR(J51/H51,0)</f>
        <v/>
      </c>
      <c r="L51" s="20">
        <f>SUMIFS(LANÇAMENTOS!$F$5:$F$304,LANÇAMENTOS!$C$5:$C$304,A51,LANÇAMENTOS!$B$5:$B$304,"Dividendos")</f>
        <v/>
      </c>
    </row>
    <row r="52">
      <c r="A52" s="18" t="n"/>
      <c r="B52" s="18">
        <f>IFERROR(VLOOKUP(A52,ATIVOS!$A$5:$H$54,2,FALSE),"")</f>
        <v/>
      </c>
      <c r="C52" s="18">
        <f>IFERROR(VLOOKUP(A52,ATIVOS!$A$5:$H$54,3,FALSE),"")</f>
        <v/>
      </c>
      <c r="D52" s="18">
        <f>IFERROR(VLOOKUP(A52,ATIVOS!$A$5:$H$54,4,FALSE),"")</f>
        <v/>
      </c>
      <c r="E52" s="18">
        <f>IF(A52="","",SUMIFS(LANÇAMENTOS!$D$5:$D$304,LANÇAMENTOS!$C$5:$C$304,A52,LANÇAMENTOS!$B$5:$B$304,"Compra")-SUMIFS(LANÇAMENTOS!$D$5:$D$304,LANÇAMENTOS!$C$5:$C$304,A52,LANÇAMENTOS!$B$5:$B$304,"Venda"))</f>
        <v/>
      </c>
      <c r="F52" s="20">
        <f>IFERROR(SUMIFS(LANÇAMENTOS!$F$5:$F$304,LANÇAMENTOS!$C$5:$C$304,A52,LANÇAMENTOS!$B$5:$B$304,"Compra")/SUMIFS(LANÇAMENTOS!$D$5:$D$304,LANÇAMENTOS!$C$5:$C$304,A52,LANÇAMENTOS!$B$5:$B$304,"Compra"),0)</f>
        <v/>
      </c>
      <c r="G52" s="20">
        <f>IFERROR(VLOOKUP(A52,ATIVOS!$A$5:$H$54,7,FALSE),0)</f>
        <v/>
      </c>
      <c r="H52" s="20">
        <f>MAX(0,E52*F52)</f>
        <v/>
      </c>
      <c r="I52" s="20">
        <f>MAX(0,E52*G52)</f>
        <v/>
      </c>
      <c r="J52" s="20">
        <f>I52-H52</f>
        <v/>
      </c>
      <c r="K52" s="23">
        <f>IFERROR(J52/H52,0)</f>
        <v/>
      </c>
      <c r="L52" s="20">
        <f>SUMIFS(LANÇAMENTOS!$F$5:$F$304,LANÇAMENTOS!$C$5:$C$304,A52,LANÇAMENTOS!$B$5:$B$304,"Dividendos")</f>
        <v/>
      </c>
    </row>
    <row r="53">
      <c r="A53" s="18" t="n"/>
      <c r="B53" s="18">
        <f>IFERROR(VLOOKUP(A53,ATIVOS!$A$5:$H$54,2,FALSE),"")</f>
        <v/>
      </c>
      <c r="C53" s="18">
        <f>IFERROR(VLOOKUP(A53,ATIVOS!$A$5:$H$54,3,FALSE),"")</f>
        <v/>
      </c>
      <c r="D53" s="18">
        <f>IFERROR(VLOOKUP(A53,ATIVOS!$A$5:$H$54,4,FALSE),"")</f>
        <v/>
      </c>
      <c r="E53" s="18">
        <f>IF(A53="","",SUMIFS(LANÇAMENTOS!$D$5:$D$304,LANÇAMENTOS!$C$5:$C$304,A53,LANÇAMENTOS!$B$5:$B$304,"Compra")-SUMIFS(LANÇAMENTOS!$D$5:$D$304,LANÇAMENTOS!$C$5:$C$304,A53,LANÇAMENTOS!$B$5:$B$304,"Venda"))</f>
        <v/>
      </c>
      <c r="F53" s="20">
        <f>IFERROR(SUMIFS(LANÇAMENTOS!$F$5:$F$304,LANÇAMENTOS!$C$5:$C$304,A53,LANÇAMENTOS!$B$5:$B$304,"Compra")/SUMIFS(LANÇAMENTOS!$D$5:$D$304,LANÇAMENTOS!$C$5:$C$304,A53,LANÇAMENTOS!$B$5:$B$304,"Compra"),0)</f>
        <v/>
      </c>
      <c r="G53" s="20">
        <f>IFERROR(VLOOKUP(A53,ATIVOS!$A$5:$H$54,7,FALSE),0)</f>
        <v/>
      </c>
      <c r="H53" s="20">
        <f>MAX(0,E53*F53)</f>
        <v/>
      </c>
      <c r="I53" s="20">
        <f>MAX(0,E53*G53)</f>
        <v/>
      </c>
      <c r="J53" s="20">
        <f>I53-H53</f>
        <v/>
      </c>
      <c r="K53" s="23">
        <f>IFERROR(J53/H53,0)</f>
        <v/>
      </c>
      <c r="L53" s="20">
        <f>SUMIFS(LANÇAMENTOS!$F$5:$F$304,LANÇAMENTOS!$C$5:$C$304,A53,LANÇAMENTOS!$B$5:$B$304,"Dividendos")</f>
        <v/>
      </c>
    </row>
    <row r="54">
      <c r="A54" s="18" t="n"/>
      <c r="B54" s="18">
        <f>IFERROR(VLOOKUP(A54,ATIVOS!$A$5:$H$54,2,FALSE),"")</f>
        <v/>
      </c>
      <c r="C54" s="18">
        <f>IFERROR(VLOOKUP(A54,ATIVOS!$A$5:$H$54,3,FALSE),"")</f>
        <v/>
      </c>
      <c r="D54" s="18">
        <f>IFERROR(VLOOKUP(A54,ATIVOS!$A$5:$H$54,4,FALSE),"")</f>
        <v/>
      </c>
      <c r="E54" s="18">
        <f>IF(A54="","",SUMIFS(LANÇAMENTOS!$D$5:$D$304,LANÇAMENTOS!$C$5:$C$304,A54,LANÇAMENTOS!$B$5:$B$304,"Compra")-SUMIFS(LANÇAMENTOS!$D$5:$D$304,LANÇAMENTOS!$C$5:$C$304,A54,LANÇAMENTOS!$B$5:$B$304,"Venda"))</f>
        <v/>
      </c>
      <c r="F54" s="20">
        <f>IFERROR(SUMIFS(LANÇAMENTOS!$F$5:$F$304,LANÇAMENTOS!$C$5:$C$304,A54,LANÇAMENTOS!$B$5:$B$304,"Compra")/SUMIFS(LANÇAMENTOS!$D$5:$D$304,LANÇAMENTOS!$C$5:$C$304,A54,LANÇAMENTOS!$B$5:$B$304,"Compra"),0)</f>
        <v/>
      </c>
      <c r="G54" s="20">
        <f>IFERROR(VLOOKUP(A54,ATIVOS!$A$5:$H$54,7,FALSE),0)</f>
        <v/>
      </c>
      <c r="H54" s="20">
        <f>MAX(0,E54*F54)</f>
        <v/>
      </c>
      <c r="I54" s="20">
        <f>MAX(0,E54*G54)</f>
        <v/>
      </c>
      <c r="J54" s="20">
        <f>I54-H54</f>
        <v/>
      </c>
      <c r="K54" s="23">
        <f>IFERROR(J54/H54,0)</f>
        <v/>
      </c>
      <c r="L54" s="20">
        <f>SUMIFS(LANÇAMENTOS!$F$5:$F$304,LANÇAMENTOS!$C$5:$C$304,A54,LANÇAMENTOS!$B$5:$B$304,"Dividendos")</f>
        <v/>
      </c>
    </row>
  </sheetData>
  <mergeCells count="1"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8" customWidth="1" min="5" max="5"/>
    <col width="20" customWidth="1" min="6" max="6"/>
  </cols>
  <sheetData>
    <row r="1" ht="30" customHeight="1">
      <c r="A1" s="1" t="inlineStr">
        <is>
          <t>Metas e Planejamento</t>
        </is>
      </c>
    </row>
    <row r="2"/>
    <row r="3"/>
    <row r="4">
      <c r="A4" s="3" t="inlineStr">
        <is>
          <t>METAS PRINCIPAIS</t>
        </is>
      </c>
    </row>
    <row r="5">
      <c r="A5" t="inlineStr">
        <is>
          <t>Meta de patrimônio</t>
        </is>
      </c>
      <c r="B5" s="17" t="n">
        <v>100000</v>
      </c>
    </row>
    <row r="6">
      <c r="A6" t="inlineStr">
        <is>
          <t>Meta de renda mensal</t>
        </is>
      </c>
      <c r="B6" s="17" t="n">
        <v>1000</v>
      </c>
    </row>
    <row r="7">
      <c r="A7" t="inlineStr">
        <is>
          <t>Aporte mensal planejado</t>
        </is>
      </c>
      <c r="B7" s="17" t="n">
        <v>200</v>
      </c>
    </row>
    <row r="8">
      <c r="A8" t="inlineStr">
        <is>
          <t>Meta anual de aportes</t>
        </is>
      </c>
      <c r="B8" s="17" t="n">
        <v>2400</v>
      </c>
    </row>
    <row r="9"/>
    <row r="10">
      <c r="A10" s="7" t="inlineStr">
        <is>
          <t>Patrimônio atual</t>
        </is>
      </c>
      <c r="B10" s="20">
        <f>SUM(CARTEIRA!I5:I54)</f>
        <v/>
      </c>
    </row>
    <row r="11">
      <c r="A11" s="7" t="inlineStr">
        <is>
          <t>Dividendos recebidos</t>
        </is>
      </c>
      <c r="B11" s="20">
        <f>SUM(CARTEIRA!L5:L54)</f>
        <v/>
      </c>
    </row>
    <row r="12">
      <c r="A12" s="7" t="inlineStr">
        <is>
          <t>Progresso patrimônio</t>
        </is>
      </c>
      <c r="B12" s="23">
        <f>IFERROR(B10/B5,0)</f>
        <v/>
      </c>
    </row>
    <row r="13">
      <c r="A13" s="7" t="inlineStr">
        <is>
          <t>Valor restante</t>
        </is>
      </c>
      <c r="B13" s="20">
        <f>MAX(0,B5-B10)</f>
        <v/>
      </c>
    </row>
    <row r="14"/>
    <row r="15"/>
    <row r="16">
      <c r="A16" s="3" t="inlineStr">
        <is>
          <t>PLANEJAMENTO MENSAL</t>
        </is>
      </c>
    </row>
    <row r="17">
      <c r="A17" s="12" t="inlineStr">
        <is>
          <t>Mês</t>
        </is>
      </c>
      <c r="B17" s="12" t="inlineStr">
        <is>
          <t>Meta mensal</t>
        </is>
      </c>
      <c r="C17" s="12" t="inlineStr">
        <is>
          <t>Aporte realizado</t>
        </is>
      </c>
      <c r="D17" s="12" t="inlineStr">
        <is>
          <t>% atingido</t>
        </is>
      </c>
      <c r="E17" s="12" t="inlineStr">
        <is>
          <t>Meta anual</t>
        </is>
      </c>
      <c r="F17" s="12" t="inlineStr">
        <is>
          <t>Realizado no ano</t>
        </is>
      </c>
    </row>
    <row r="18">
      <c r="A18" s="18" t="inlineStr">
        <is>
          <t>Jan</t>
        </is>
      </c>
      <c r="B18" s="20">
        <f>$B$7</f>
        <v/>
      </c>
      <c r="C18" s="20">
        <f>SUMIFS(LANÇAMENTOS!$F$5:$F$304,LANÇAMENTOS!$B$5:$B$304,"Aporte",LANÇAMENTOS!$I$5:$I$304,ROW()-17)</f>
        <v/>
      </c>
      <c r="D18" s="23">
        <f>IFERROR(C18/B18,0)</f>
        <v/>
      </c>
      <c r="E18" s="20">
        <f>$B$8</f>
        <v/>
      </c>
      <c r="F18" s="20">
        <f>SUM(C$18:C18)</f>
        <v/>
      </c>
    </row>
    <row r="19">
      <c r="A19" s="18" t="inlineStr">
        <is>
          <t>Fev</t>
        </is>
      </c>
      <c r="B19" s="20">
        <f>$B$7</f>
        <v/>
      </c>
      <c r="C19" s="20">
        <f>SUMIFS(LANÇAMENTOS!$F$5:$F$304,LANÇAMENTOS!$B$5:$B$304,"Aporte",LANÇAMENTOS!$I$5:$I$304,ROW()-17)</f>
        <v/>
      </c>
      <c r="D19" s="23">
        <f>IFERROR(C19/B19,0)</f>
        <v/>
      </c>
      <c r="E19" s="20">
        <f>$B$8</f>
        <v/>
      </c>
      <c r="F19" s="20">
        <f>SUM(C$18:C19)</f>
        <v/>
      </c>
    </row>
    <row r="20">
      <c r="A20" s="18" t="inlineStr">
        <is>
          <t>Mar</t>
        </is>
      </c>
      <c r="B20" s="20">
        <f>$B$7</f>
        <v/>
      </c>
      <c r="C20" s="20">
        <f>SUMIFS(LANÇAMENTOS!$F$5:$F$304,LANÇAMENTOS!$B$5:$B$304,"Aporte",LANÇAMENTOS!$I$5:$I$304,ROW()-17)</f>
        <v/>
      </c>
      <c r="D20" s="23">
        <f>IFERROR(C20/B20,0)</f>
        <v/>
      </c>
      <c r="E20" s="20">
        <f>$B$8</f>
        <v/>
      </c>
      <c r="F20" s="20">
        <f>SUM(C$18:C20)</f>
        <v/>
      </c>
    </row>
    <row r="21">
      <c r="A21" s="18" t="inlineStr">
        <is>
          <t>Abr</t>
        </is>
      </c>
      <c r="B21" s="20">
        <f>$B$7</f>
        <v/>
      </c>
      <c r="C21" s="20">
        <f>SUMIFS(LANÇAMENTOS!$F$5:$F$304,LANÇAMENTOS!$B$5:$B$304,"Aporte",LANÇAMENTOS!$I$5:$I$304,ROW()-17)</f>
        <v/>
      </c>
      <c r="D21" s="23">
        <f>IFERROR(C21/B21,0)</f>
        <v/>
      </c>
      <c r="E21" s="20">
        <f>$B$8</f>
        <v/>
      </c>
      <c r="F21" s="20">
        <f>SUM(C$18:C21)</f>
        <v/>
      </c>
    </row>
    <row r="22">
      <c r="A22" s="18" t="inlineStr">
        <is>
          <t>Mai</t>
        </is>
      </c>
      <c r="B22" s="20">
        <f>$B$7</f>
        <v/>
      </c>
      <c r="C22" s="20">
        <f>SUMIFS(LANÇAMENTOS!$F$5:$F$304,LANÇAMENTOS!$B$5:$B$304,"Aporte",LANÇAMENTOS!$I$5:$I$304,ROW()-17)</f>
        <v/>
      </c>
      <c r="D22" s="23">
        <f>IFERROR(C22/B22,0)</f>
        <v/>
      </c>
      <c r="E22" s="20">
        <f>$B$8</f>
        <v/>
      </c>
      <c r="F22" s="20">
        <f>SUM(C$18:C22)</f>
        <v/>
      </c>
    </row>
    <row r="23">
      <c r="A23" s="18" t="inlineStr">
        <is>
          <t>Jun</t>
        </is>
      </c>
      <c r="B23" s="20">
        <f>$B$7</f>
        <v/>
      </c>
      <c r="C23" s="20">
        <f>SUMIFS(LANÇAMENTOS!$F$5:$F$304,LANÇAMENTOS!$B$5:$B$304,"Aporte",LANÇAMENTOS!$I$5:$I$304,ROW()-17)</f>
        <v/>
      </c>
      <c r="D23" s="23">
        <f>IFERROR(C23/B23,0)</f>
        <v/>
      </c>
      <c r="E23" s="20">
        <f>$B$8</f>
        <v/>
      </c>
      <c r="F23" s="20">
        <f>SUM(C$18:C23)</f>
        <v/>
      </c>
    </row>
    <row r="24">
      <c r="A24" s="18" t="inlineStr">
        <is>
          <t>Jul</t>
        </is>
      </c>
      <c r="B24" s="20">
        <f>$B$7</f>
        <v/>
      </c>
      <c r="C24" s="20">
        <f>SUMIFS(LANÇAMENTOS!$F$5:$F$304,LANÇAMENTOS!$B$5:$B$304,"Aporte",LANÇAMENTOS!$I$5:$I$304,ROW()-17)</f>
        <v/>
      </c>
      <c r="D24" s="23">
        <f>IFERROR(C24/B24,0)</f>
        <v/>
      </c>
      <c r="E24" s="20">
        <f>$B$8</f>
        <v/>
      </c>
      <c r="F24" s="20">
        <f>SUM(C$18:C24)</f>
        <v/>
      </c>
    </row>
    <row r="25">
      <c r="A25" s="18" t="inlineStr">
        <is>
          <t>Ago</t>
        </is>
      </c>
      <c r="B25" s="20">
        <f>$B$7</f>
        <v/>
      </c>
      <c r="C25" s="20">
        <f>SUMIFS(LANÇAMENTOS!$F$5:$F$304,LANÇAMENTOS!$B$5:$B$304,"Aporte",LANÇAMENTOS!$I$5:$I$304,ROW()-17)</f>
        <v/>
      </c>
      <c r="D25" s="23">
        <f>IFERROR(C25/B25,0)</f>
        <v/>
      </c>
      <c r="E25" s="20">
        <f>$B$8</f>
        <v/>
      </c>
      <c r="F25" s="20">
        <f>SUM(C$18:C25)</f>
        <v/>
      </c>
    </row>
    <row r="26">
      <c r="A26" s="18" t="inlineStr">
        <is>
          <t>Set</t>
        </is>
      </c>
      <c r="B26" s="20">
        <f>$B$7</f>
        <v/>
      </c>
      <c r="C26" s="20">
        <f>SUMIFS(LANÇAMENTOS!$F$5:$F$304,LANÇAMENTOS!$B$5:$B$304,"Aporte",LANÇAMENTOS!$I$5:$I$304,ROW()-17)</f>
        <v/>
      </c>
      <c r="D26" s="23">
        <f>IFERROR(C26/B26,0)</f>
        <v/>
      </c>
      <c r="E26" s="20">
        <f>$B$8</f>
        <v/>
      </c>
      <c r="F26" s="20">
        <f>SUM(C$18:C26)</f>
        <v/>
      </c>
    </row>
    <row r="27">
      <c r="A27" s="18" t="inlineStr">
        <is>
          <t>Out</t>
        </is>
      </c>
      <c r="B27" s="20">
        <f>$B$7</f>
        <v/>
      </c>
      <c r="C27" s="20">
        <f>SUMIFS(LANÇAMENTOS!$F$5:$F$304,LANÇAMENTOS!$B$5:$B$304,"Aporte",LANÇAMENTOS!$I$5:$I$304,ROW()-17)</f>
        <v/>
      </c>
      <c r="D27" s="23">
        <f>IFERROR(C27/B27,0)</f>
        <v/>
      </c>
      <c r="E27" s="20">
        <f>$B$8</f>
        <v/>
      </c>
      <c r="F27" s="20">
        <f>SUM(C$18:C27)</f>
        <v/>
      </c>
    </row>
    <row r="28">
      <c r="A28" s="18" t="inlineStr">
        <is>
          <t>Nov</t>
        </is>
      </c>
      <c r="B28" s="20">
        <f>$B$7</f>
        <v/>
      </c>
      <c r="C28" s="20">
        <f>SUMIFS(LANÇAMENTOS!$F$5:$F$304,LANÇAMENTOS!$B$5:$B$304,"Aporte",LANÇAMENTOS!$I$5:$I$304,ROW()-17)</f>
        <v/>
      </c>
      <c r="D28" s="23">
        <f>IFERROR(C28/B28,0)</f>
        <v/>
      </c>
      <c r="E28" s="20">
        <f>$B$8</f>
        <v/>
      </c>
      <c r="F28" s="20">
        <f>SUM(C$18:C28)</f>
        <v/>
      </c>
    </row>
    <row r="29">
      <c r="A29" s="18" t="inlineStr">
        <is>
          <t>Dez</t>
        </is>
      </c>
      <c r="B29" s="20">
        <f>$B$7</f>
        <v/>
      </c>
      <c r="C29" s="20">
        <f>SUMIFS(LANÇAMENTOS!$F$5:$F$304,LANÇAMENTOS!$B$5:$B$304,"Aporte",LANÇAMENTOS!$I$5:$I$304,ROW()-17)</f>
        <v/>
      </c>
      <c r="D29" s="23">
        <f>IFERROR(C29/B29,0)</f>
        <v/>
      </c>
      <c r="E29" s="20">
        <f>$B$8</f>
        <v/>
      </c>
      <c r="F29" s="20">
        <f>SUM(C$18:C29)</f>
        <v/>
      </c>
    </row>
  </sheetData>
  <mergeCells count="3">
    <mergeCell ref="A16:F16"/>
    <mergeCell ref="A4:D4"/>
    <mergeCell ref="A1:G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22" customWidth="1" min="5" max="5"/>
    <col width="38" customWidth="1" min="6" max="6"/>
    <col width="16" customWidth="1" min="7" max="7"/>
    <col width="30" customWidth="1" min="8" max="8"/>
  </cols>
  <sheetData>
    <row r="1" ht="30" customHeight="1">
      <c r="A1" s="1" t="inlineStr">
        <is>
          <t>Cadastro de Ativos</t>
        </is>
      </c>
    </row>
    <row r="2"/>
    <row r="3"/>
    <row r="4">
      <c r="A4" s="12" t="inlineStr">
        <is>
          <t>Ticker</t>
        </is>
      </c>
      <c r="B4" s="12" t="inlineStr">
        <is>
          <t>Nome</t>
        </is>
      </c>
      <c r="C4" s="12" t="inlineStr">
        <is>
          <t>Tipo</t>
        </is>
      </c>
      <c r="D4" s="12" t="inlineStr">
        <is>
          <t>Segmento</t>
        </is>
      </c>
      <c r="E4" s="12" t="inlineStr">
        <is>
          <t>Subsegmento</t>
        </is>
      </c>
      <c r="F4" s="12" t="inlineStr">
        <is>
          <t>Política/Estratégia</t>
        </is>
      </c>
      <c r="G4" s="12" t="inlineStr">
        <is>
          <t>Preço Atual</t>
        </is>
      </c>
      <c r="H4" s="12" t="inlineStr">
        <is>
          <t>Observação</t>
        </is>
      </c>
    </row>
    <row r="5">
      <c r="A5" s="18" t="n"/>
      <c r="B5" s="18" t="n"/>
      <c r="C5" s="18" t="n"/>
      <c r="D5" s="18" t="n"/>
      <c r="E5" s="18" t="n"/>
      <c r="F5" s="18" t="n"/>
      <c r="G5" s="20" t="n"/>
      <c r="H5" s="18" t="n"/>
    </row>
    <row r="6">
      <c r="A6" s="18" t="n"/>
      <c r="B6" s="18" t="n"/>
      <c r="C6" s="18" t="n"/>
      <c r="D6" s="18" t="n"/>
      <c r="E6" s="18" t="n"/>
      <c r="F6" s="18" t="n"/>
      <c r="G6" s="20" t="n"/>
      <c r="H6" s="18" t="n"/>
    </row>
    <row r="7">
      <c r="A7" s="18" t="n"/>
      <c r="B7" s="18" t="n"/>
      <c r="C7" s="18" t="n"/>
      <c r="D7" s="18" t="n"/>
      <c r="E7" s="18" t="n"/>
      <c r="F7" s="18" t="n"/>
      <c r="G7" s="20" t="n"/>
      <c r="H7" s="18" t="n"/>
    </row>
    <row r="8">
      <c r="A8" s="18" t="n"/>
      <c r="B8" s="18" t="n"/>
      <c r="C8" s="18" t="n"/>
      <c r="D8" s="18" t="n"/>
      <c r="E8" s="18" t="n"/>
      <c r="F8" s="18" t="n"/>
      <c r="G8" s="20" t="n"/>
      <c r="H8" s="18" t="n"/>
    </row>
    <row r="9">
      <c r="A9" s="18" t="n"/>
      <c r="B9" s="18" t="n"/>
      <c r="C9" s="18" t="n"/>
      <c r="D9" s="18" t="n"/>
      <c r="E9" s="18" t="n"/>
      <c r="F9" s="18" t="n"/>
      <c r="G9" s="20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20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20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20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20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20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20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20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20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20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20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20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20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20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20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20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20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20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20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20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20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20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20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20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20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20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20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20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20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20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20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20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20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20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20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20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20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20" t="n"/>
      <c r="H46" s="18" t="n"/>
    </row>
    <row r="47">
      <c r="A47" s="18" t="n"/>
      <c r="B47" s="18" t="n"/>
      <c r="C47" s="18" t="n"/>
      <c r="D47" s="18" t="n"/>
      <c r="E47" s="18" t="n"/>
      <c r="F47" s="18" t="n"/>
      <c r="G47" s="20" t="n"/>
      <c r="H47" s="18" t="n"/>
    </row>
    <row r="48">
      <c r="A48" s="18" t="n"/>
      <c r="B48" s="18" t="n"/>
      <c r="C48" s="18" t="n"/>
      <c r="D48" s="18" t="n"/>
      <c r="E48" s="18" t="n"/>
      <c r="F48" s="18" t="n"/>
      <c r="G48" s="20" t="n"/>
      <c r="H48" s="18" t="n"/>
    </row>
    <row r="49">
      <c r="A49" s="18" t="n"/>
      <c r="B49" s="18" t="n"/>
      <c r="C49" s="18" t="n"/>
      <c r="D49" s="18" t="n"/>
      <c r="E49" s="18" t="n"/>
      <c r="F49" s="18" t="n"/>
      <c r="G49" s="20" t="n"/>
      <c r="H49" s="18" t="n"/>
    </row>
    <row r="50">
      <c r="A50" s="18" t="n"/>
      <c r="B50" s="18" t="n"/>
      <c r="C50" s="18" t="n"/>
      <c r="D50" s="18" t="n"/>
      <c r="E50" s="18" t="n"/>
      <c r="F50" s="18" t="n"/>
      <c r="G50" s="20" t="n"/>
      <c r="H50" s="18" t="n"/>
    </row>
    <row r="51">
      <c r="A51" s="18" t="n"/>
      <c r="B51" s="18" t="n"/>
      <c r="C51" s="18" t="n"/>
      <c r="D51" s="18" t="n"/>
      <c r="E51" s="18" t="n"/>
      <c r="F51" s="18" t="n"/>
      <c r="G51" s="20" t="n"/>
      <c r="H51" s="18" t="n"/>
    </row>
    <row r="52">
      <c r="A52" s="18" t="n"/>
      <c r="B52" s="18" t="n"/>
      <c r="C52" s="18" t="n"/>
      <c r="D52" s="18" t="n"/>
      <c r="E52" s="18" t="n"/>
      <c r="F52" s="18" t="n"/>
      <c r="G52" s="20" t="n"/>
      <c r="H52" s="18" t="n"/>
    </row>
    <row r="53">
      <c r="A53" s="18" t="n"/>
      <c r="B53" s="18" t="n"/>
      <c r="C53" s="18" t="n"/>
      <c r="D53" s="18" t="n"/>
      <c r="E53" s="18" t="n"/>
      <c r="F53" s="18" t="n"/>
      <c r="G53" s="20" t="n"/>
      <c r="H53" s="18" t="n"/>
    </row>
    <row r="54">
      <c r="A54" s="18" t="n"/>
      <c r="B54" s="18" t="n"/>
      <c r="C54" s="18" t="n"/>
      <c r="D54" s="18" t="n"/>
      <c r="E54" s="18" t="n"/>
      <c r="F54" s="18" t="n"/>
      <c r="G54" s="20" t="n"/>
      <c r="H54" s="18" t="n"/>
    </row>
  </sheetData>
  <mergeCells count="1">
    <mergeCell ref="A1:H1"/>
  </mergeCells>
  <dataValidations count="2">
    <dataValidation sqref="C5:C54" showDropDown="0" showInputMessage="0" showErrorMessage="0" allowBlank="1" type="list">
      <formula1>=AUXILIAR!$B$2:$B$8</formula1>
    </dataValidation>
    <dataValidation sqref="D5:D54" showDropDown="0" showInputMessage="0" showErrorMessage="0" allowBlank="1" type="list">
      <formula1>=AUXILIAR!$C$2:$C$9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65" customWidth="1" min="3" max="3"/>
  </cols>
  <sheetData>
    <row r="1" ht="30" customHeight="1">
      <c r="A1" s="1" t="inlineStr">
        <is>
          <t>Indicadores e Educação</t>
        </is>
      </c>
    </row>
    <row r="2"/>
    <row r="3"/>
    <row r="4">
      <c r="A4" s="3" t="inlineStr">
        <is>
          <t>INDICADORES — LEITURA EDUCATIVA</t>
        </is>
      </c>
    </row>
    <row r="5">
      <c r="A5" s="12" t="inlineStr">
        <is>
          <t>Indicador</t>
        </is>
      </c>
      <c r="B5" s="12" t="inlineStr">
        <is>
          <t>O que significa</t>
        </is>
      </c>
      <c r="C5" s="12" t="inlineStr">
        <is>
          <t>Cuidados</t>
        </is>
      </c>
    </row>
    <row r="6">
      <c r="A6" s="26" t="inlineStr">
        <is>
          <t>Dividend Yield (DY)</t>
        </is>
      </c>
      <c r="B6" s="26" t="inlineStr">
        <is>
          <t>Relação entre rendimentos distribuídos e preço/valor de referência, conforme a metodologia adotada.</t>
        </is>
      </c>
      <c r="C6" s="26" t="inlineStr">
        <is>
          <t>Não existe um DY mínimo oficial que, isoladamente, determine se um FII é adequado.</t>
        </is>
      </c>
    </row>
    <row r="7">
      <c r="A7" s="26" t="inlineStr">
        <is>
          <t>P/VP</t>
        </is>
      </c>
      <c r="B7" s="26" t="inlineStr">
        <is>
          <t>Compara o preço da cota com o valor patrimonial por cota.</t>
        </is>
      </c>
      <c r="C7" s="26" t="inlineStr">
        <is>
          <t>Não deve ser interpretado isoladamente como sinal automático de compra ou venda.</t>
        </is>
      </c>
    </row>
    <row r="8">
      <c r="A8" s="26" t="inlineStr">
        <is>
          <t>Vacância</t>
        </is>
      </c>
      <c r="B8" s="26" t="inlineStr">
        <is>
          <t>Indicador relacionado à ocupação de imóveis, quando aplicável ao fundo.</t>
        </is>
      </c>
      <c r="C8" s="26" t="inlineStr">
        <is>
          <t>A interpretação depende do segmento, contratos, localização e estratégia do fundo.</t>
        </is>
      </c>
    </row>
    <row r="9">
      <c r="A9" s="26" t="inlineStr">
        <is>
          <t>Liquidez</t>
        </is>
      </c>
      <c r="B9" s="26" t="inlineStr">
        <is>
          <t>Refere-se à facilidade de negociação de um ativo no mercado.</t>
        </is>
      </c>
      <c r="C9" s="26" t="inlineStr">
        <is>
          <t>Liquidez pode variar e não deve ser tratada como garantia de saída imediata.</t>
        </is>
      </c>
    </row>
    <row r="10">
      <c r="A10" s="26" t="inlineStr">
        <is>
          <t>Rendimento</t>
        </is>
      </c>
      <c r="B10" s="26" t="inlineStr">
        <is>
          <t>Distribuições recebidas pelos cotistas, quando existentes.</t>
        </is>
      </c>
      <c r="C10" s="26" t="inlineStr">
        <is>
          <t>Distribuições futuras não são garantidas.</t>
        </is>
      </c>
    </row>
    <row r="11"/>
    <row r="12"/>
    <row r="13"/>
    <row r="14">
      <c r="A14" s="3" t="inlineStr">
        <is>
          <t>TIPOS / CLASSIFICAÇÕES</t>
        </is>
      </c>
    </row>
    <row r="15">
      <c r="A15" s="12" t="inlineStr">
        <is>
          <t>Categoria</t>
        </is>
      </c>
      <c r="B15" s="12" t="inlineStr">
        <is>
          <t>Descrição</t>
        </is>
      </c>
    </row>
    <row r="16">
      <c r="A16" s="18" t="inlineStr">
        <is>
          <t>Tijolo</t>
        </is>
      </c>
      <c r="B16" s="27" t="inlineStr">
        <is>
          <t>Exposição predominantemente a imóveis físicos e operações relacionadas.</t>
        </is>
      </c>
    </row>
    <row r="17">
      <c r="A17" s="18" t="inlineStr">
        <is>
          <t>Papel</t>
        </is>
      </c>
      <c r="B17" s="27" t="inlineStr">
        <is>
          <t>Exposição predominantemente a títulos/recebíveis ligados ao mercado imobiliário.</t>
        </is>
      </c>
    </row>
    <row r="18">
      <c r="A18" s="18" t="inlineStr">
        <is>
          <t>Híbrido</t>
        </is>
      </c>
      <c r="B18" s="27" t="inlineStr">
        <is>
          <t>Combina diferentes tipos de ativos/estratégias.</t>
        </is>
      </c>
    </row>
    <row r="19">
      <c r="A19" s="18" t="inlineStr">
        <is>
          <t>FOF</t>
        </is>
      </c>
      <c r="B19" s="27" t="inlineStr">
        <is>
          <t>Fundo que investe em cotas de outros fundos, conforme sua política.</t>
        </is>
      </c>
    </row>
    <row r="20">
      <c r="A20" s="18" t="inlineStr">
        <is>
          <t>Desenvolvimento</t>
        </is>
      </c>
      <c r="B20" s="27" t="inlineStr">
        <is>
          <t>Pode envolver estratégias ligadas ao desenvolvimento imobiliário.</t>
        </is>
      </c>
    </row>
    <row r="21">
      <c r="A21" s="18" t="inlineStr">
        <is>
          <t>Hotelaria</t>
        </is>
      </c>
      <c r="B21" s="27" t="inlineStr">
        <is>
          <t>Exposição relacionada ao segmento hoteleiro, quando previsto na estratégia.</t>
        </is>
      </c>
    </row>
  </sheetData>
  <mergeCells count="3">
    <mergeCell ref="A4:H4"/>
    <mergeCell ref="A14:H14"/>
    <mergeCell ref="A1:H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70" customWidth="1" min="3" max="3"/>
    <col width="60" customWidth="1" min="4" max="4"/>
  </cols>
  <sheetData>
    <row r="1" ht="30" customHeight="1">
      <c r="A1" s="1" t="inlineStr">
        <is>
          <t>Fontes Oficiais</t>
        </is>
      </c>
    </row>
    <row r="2"/>
    <row r="3">
      <c r="A3" t="inlineStr">
        <is>
          <t>Consulte as páginas oficiais para validar conceitos, documentos e informações dos fundos.</t>
        </is>
      </c>
    </row>
    <row r="4"/>
    <row r="5">
      <c r="A5" s="12" t="inlineStr">
        <is>
          <t>Instituição</t>
        </is>
      </c>
      <c r="B5" s="12" t="inlineStr">
        <is>
          <t>Fonte</t>
        </is>
      </c>
      <c r="C5" s="12" t="inlineStr">
        <is>
          <t>Descrição</t>
        </is>
      </c>
      <c r="D5" s="12" t="inlineStr">
        <is>
          <t>Acessar</t>
        </is>
      </c>
    </row>
    <row r="6">
      <c r="A6" s="26" t="inlineStr">
        <is>
          <t>B3</t>
        </is>
      </c>
      <c r="B6" s="26" t="inlineStr">
        <is>
          <t>Fundos de Investimento Imobiliário (FII)</t>
        </is>
      </c>
      <c r="C6" s="26" t="inlineStr">
        <is>
          <t>Informações gerais sobre negociação e FIIs.</t>
        </is>
      </c>
      <c r="D6" s="28" t="inlineStr">
        <is>
          <t>https://www.b3.com.br/pt_br/produtos-e-servicos/negociacao/renda-variavel/fundos-de-investimento-imobiliario-fii.htm</t>
        </is>
      </c>
    </row>
    <row r="7">
      <c r="A7" s="26" t="inlineStr">
        <is>
          <t>B3</t>
        </is>
      </c>
      <c r="B7" s="26" t="inlineStr">
        <is>
          <t>FIIs listados</t>
        </is>
      </c>
      <c r="C7" s="26" t="inlineStr">
        <is>
          <t>Consulta de fundos imobiliários listados na B3.</t>
        </is>
      </c>
      <c r="D7" s="28" t="inlineStr">
        <is>
          <t>https://www.b3.com.br/pt_br/produtos-e-servicos/negociacao/renda-variavel/fundos-de-investimentos/fii/fiis-listados/</t>
        </is>
      </c>
    </row>
    <row r="8">
      <c r="A8" s="26" t="inlineStr">
        <is>
          <t>CVM</t>
        </is>
      </c>
      <c r="B8" s="26" t="inlineStr">
        <is>
          <t>Fundos de Investimento</t>
        </is>
      </c>
      <c r="C8" s="26" t="inlineStr">
        <is>
          <t>Informações e consultas oficiais da CVM.</t>
        </is>
      </c>
      <c r="D8" s="28" t="inlineStr">
        <is>
          <t>https://www.gov.br/cvm/pt-br/assuntos/regulados/consultas-por-participante/fundos-de-investimento</t>
        </is>
      </c>
    </row>
    <row r="9">
      <c r="A9" s="26" t="inlineStr">
        <is>
          <t>CVM</t>
        </is>
      </c>
      <c r="B9" s="26" t="inlineStr">
        <is>
          <t>Fundos de Investimento Imobiliários</t>
        </is>
      </c>
      <c r="C9" s="26" t="inlineStr">
        <is>
          <t>Informações regulatórias e periódicas relacionadas aos FIIs.</t>
        </is>
      </c>
      <c r="D9" s="28" t="inlineStr">
        <is>
          <t>https://www.gov.br/cvm/pt-br/assuntos/regulados/envio-de-informacoes-a-cvm-calendario/sse/fundos-de-investimento-imobiliarios-fiis</t>
        </is>
      </c>
    </row>
    <row r="10">
      <c r="A10" s="26" t="inlineStr">
        <is>
          <t>Portal do Investidor</t>
        </is>
      </c>
      <c r="B10" s="26" t="inlineStr">
        <is>
          <t>Política de investimentos e ativos</t>
        </is>
      </c>
      <c r="C10" s="26" t="inlineStr">
        <is>
          <t>Conteúdo educativo sobre política de investimento e ativos dos FIIs.</t>
        </is>
      </c>
      <c r="D10" s="28" t="inlineStr">
        <is>
          <t>https://www.gov.br/investidor/pt-br/investir/tipos-de-investimentos/fundos-de-investimentos-imobiliarios-fii/politica-de-investimentos-ativos-em-que-os-fii-investem</t>
        </is>
      </c>
    </row>
    <row r="11">
      <c r="A11" s="26" t="inlineStr">
        <is>
          <t>Portal do Investidor</t>
        </is>
      </c>
      <c r="B11" s="26" t="inlineStr">
        <is>
          <t>Principais riscos</t>
        </is>
      </c>
      <c r="C11" s="26" t="inlineStr">
        <is>
          <t>Conteúdo educativo oficial sobre riscos dos FIIs.</t>
        </is>
      </c>
      <c r="D11" s="28" t="inlineStr">
        <is>
          <t>https://www.gov.br/investidor/pt-br/investir/tipos-de-investimentos/fundos-de-investimentos-imobiliarios-fii/principais-riscos</t>
        </is>
      </c>
    </row>
  </sheetData>
  <mergeCells count="2">
    <mergeCell ref="A3:F3"/>
    <mergeCell ref="A1:F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</hyperlink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Tipos de movimentação</t>
        </is>
      </c>
      <c r="B1" t="inlineStr">
        <is>
          <t>Tipos de FII</t>
        </is>
      </c>
      <c r="C1" t="inlineStr">
        <is>
          <t>Segmentos</t>
        </is>
      </c>
      <c r="D1" t="inlineStr">
        <is>
          <t>Sim/Não</t>
        </is>
      </c>
    </row>
    <row r="2">
      <c r="A2" t="inlineStr">
        <is>
          <t>Aporte</t>
        </is>
      </c>
      <c r="B2" t="inlineStr">
        <is>
          <t>Papel</t>
        </is>
      </c>
      <c r="C2" t="inlineStr">
        <is>
          <t>Recebíveis</t>
        </is>
      </c>
      <c r="D2" t="inlineStr">
        <is>
          <t>Sim</t>
        </is>
      </c>
    </row>
    <row r="3">
      <c r="A3" t="inlineStr">
        <is>
          <t>Compra</t>
        </is>
      </c>
      <c r="B3" t="inlineStr">
        <is>
          <t>Tijolo</t>
        </is>
      </c>
      <c r="C3" t="inlineStr">
        <is>
          <t>Logística</t>
        </is>
      </c>
      <c r="D3" t="inlineStr">
        <is>
          <t>Não</t>
        </is>
      </c>
    </row>
    <row r="4">
      <c r="A4" t="inlineStr">
        <is>
          <t>Venda</t>
        </is>
      </c>
      <c r="B4" t="inlineStr">
        <is>
          <t>Híbrido</t>
        </is>
      </c>
      <c r="C4" t="inlineStr">
        <is>
          <t>Shoppings</t>
        </is>
      </c>
    </row>
    <row r="5">
      <c r="A5" t="inlineStr">
        <is>
          <t>Dividendos</t>
        </is>
      </c>
      <c r="B5" t="inlineStr">
        <is>
          <t>FOF</t>
        </is>
      </c>
      <c r="C5" t="inlineStr">
        <is>
          <t>Lajes Corporativas</t>
        </is>
      </c>
    </row>
    <row r="6">
      <c r="A6" t="inlineStr">
        <is>
          <t>Juros/Rendimentos</t>
        </is>
      </c>
      <c r="B6" t="inlineStr">
        <is>
          <t>Desenvolvimento</t>
        </is>
      </c>
      <c r="C6" t="inlineStr">
        <is>
          <t>Hoteleiro</t>
        </is>
      </c>
    </row>
    <row r="7">
      <c r="A7" t="inlineStr">
        <is>
          <t>Taxa</t>
        </is>
      </c>
      <c r="B7" t="inlineStr">
        <is>
          <t>Hotelaria</t>
        </is>
      </c>
      <c r="C7" t="inlineStr">
        <is>
          <t>Residencial</t>
        </is>
      </c>
    </row>
    <row r="8">
      <c r="A8" t="inlineStr">
        <is>
          <t>Resgate</t>
        </is>
      </c>
      <c r="B8" t="inlineStr">
        <is>
          <t>Outro</t>
        </is>
      </c>
      <c r="C8" t="inlineStr">
        <is>
          <t>Diversificado</t>
        </is>
      </c>
    </row>
    <row r="9">
      <c r="C9" t="inlineStr">
        <is>
          <t>Outro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2026-09-09T19:08:16Z</dcterms:created>
  <dcterms:modified xmlns:dcterms="http://purl.org/dc/terms/" xmlns:xsi="http://www.w3.org/2001/XMLSchema-instance" xsi:type="dcterms:W3CDTF">2026-09-09T19:08:16Z</dcterms:modified>
</cp:coreProperties>
</file>